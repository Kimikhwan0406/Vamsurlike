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바탕화면\Project\Vamsurlike\Vamsurlike\JsonConverter\ExcelFiles\"/>
    </mc:Choice>
  </mc:AlternateContent>
  <xr:revisionPtr revIDLastSave="0" documentId="13_ncr:1_{CBB91BBB-72EC-437E-9BA1-9483378335AA}" xr6:coauthVersionLast="47" xr6:coauthVersionMax="47" xr10:uidLastSave="{00000000-0000-0000-0000-000000000000}"/>
  <bookViews>
    <workbookView xWindow="2652" yWindow="1212" windowWidth="28080" windowHeight="14628" xr2:uid="{00000000-000D-0000-FFFF-FFFF00000000}"/>
  </bookViews>
  <sheets>
    <sheet name="Sheet1" sheetId="1" r:id="rId1"/>
  </sheets>
  <definedNames>
    <definedName name="_xlnm._FilterDatabase" localSheetId="0" hidden="1">Sheet1!$A$3:$F$66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B3" i="1"/>
  <c r="A3" i="1"/>
  <c r="C3" i="1"/>
  <c r="D3" i="1"/>
  <c r="E3" i="1"/>
  <c r="F3" i="1"/>
  <c r="A4" i="1"/>
  <c r="B4" i="1"/>
  <c r="C4" i="1"/>
  <c r="D4" i="1"/>
  <c r="E4" i="1"/>
  <c r="A5" i="1"/>
  <c r="B5" i="1"/>
  <c r="C5" i="1"/>
  <c r="D5" i="1"/>
  <c r="E5" i="1"/>
  <c r="A6" i="1"/>
  <c r="B6" i="1"/>
  <c r="C6" i="1"/>
  <c r="D6" i="1"/>
  <c r="E6" i="1"/>
  <c r="A7" i="1"/>
  <c r="B7" i="1"/>
  <c r="C7" i="1"/>
  <c r="D7" i="1"/>
  <c r="E7" i="1"/>
  <c r="A8" i="1"/>
  <c r="B8" i="1"/>
  <c r="C8" i="1"/>
  <c r="D8" i="1"/>
  <c r="E8" i="1"/>
  <c r="A9" i="1"/>
  <c r="B9" i="1"/>
  <c r="C9" i="1"/>
  <c r="D9" i="1"/>
  <c r="E9" i="1"/>
  <c r="A10" i="1"/>
  <c r="B10" i="1"/>
  <c r="C10" i="1"/>
  <c r="D10" i="1"/>
  <c r="E10" i="1"/>
  <c r="A11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A15" i="1"/>
  <c r="B15" i="1"/>
  <c r="C15" i="1"/>
  <c r="D15" i="1"/>
  <c r="E15" i="1"/>
  <c r="A16" i="1"/>
  <c r="B16" i="1"/>
  <c r="C16" i="1"/>
  <c r="D16" i="1"/>
  <c r="E16" i="1"/>
  <c r="A17" i="1"/>
  <c r="B17" i="1"/>
  <c r="C17" i="1"/>
  <c r="D17" i="1"/>
  <c r="E17" i="1"/>
  <c r="A18" i="1"/>
  <c r="B18" i="1"/>
  <c r="C18" i="1"/>
  <c r="D18" i="1"/>
  <c r="E18" i="1"/>
  <c r="A19" i="1"/>
  <c r="B19" i="1"/>
  <c r="C19" i="1"/>
  <c r="D19" i="1"/>
  <c r="E19" i="1"/>
  <c r="A20" i="1"/>
  <c r="B20" i="1"/>
  <c r="C20" i="1"/>
  <c r="D20" i="1"/>
  <c r="E20" i="1"/>
  <c r="A21" i="1"/>
  <c r="B21" i="1"/>
  <c r="C21" i="1"/>
  <c r="D21" i="1"/>
  <c r="E21" i="1"/>
  <c r="A22" i="1"/>
  <c r="B22" i="1"/>
  <c r="C22" i="1"/>
  <c r="D22" i="1"/>
  <c r="E22" i="1"/>
  <c r="A23" i="1"/>
  <c r="B23" i="1"/>
  <c r="C23" i="1"/>
  <c r="D23" i="1"/>
  <c r="E23" i="1"/>
  <c r="A24" i="1"/>
  <c r="B24" i="1"/>
  <c r="C24" i="1"/>
  <c r="D24" i="1"/>
  <c r="E24" i="1"/>
  <c r="A25" i="1"/>
  <c r="B25" i="1"/>
  <c r="C25" i="1"/>
  <c r="D25" i="1"/>
  <c r="E25" i="1"/>
  <c r="A26" i="1"/>
  <c r="B26" i="1"/>
  <c r="C26" i="1"/>
  <c r="D26" i="1"/>
  <c r="E26" i="1"/>
  <c r="A27" i="1"/>
  <c r="B27" i="1"/>
  <c r="C27" i="1"/>
  <c r="D27" i="1"/>
  <c r="E27" i="1"/>
  <c r="A28" i="1"/>
  <c r="B28" i="1"/>
  <c r="C28" i="1"/>
  <c r="D28" i="1"/>
  <c r="E28" i="1"/>
  <c r="A29" i="1"/>
  <c r="B29" i="1"/>
  <c r="C29" i="1"/>
  <c r="D29" i="1"/>
  <c r="E29" i="1"/>
  <c r="A30" i="1"/>
  <c r="B30" i="1"/>
  <c r="C30" i="1"/>
  <c r="D30" i="1"/>
  <c r="E30" i="1"/>
  <c r="A31" i="1"/>
  <c r="B31" i="1"/>
  <c r="C31" i="1"/>
  <c r="D31" i="1"/>
  <c r="E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D39" i="1"/>
  <c r="E39" i="1"/>
  <c r="A40" i="1"/>
  <c r="B40" i="1"/>
  <c r="C40" i="1"/>
  <c r="D40" i="1"/>
  <c r="E40" i="1"/>
  <c r="A41" i="1"/>
  <c r="B41" i="1"/>
  <c r="C41" i="1"/>
  <c r="D41" i="1"/>
  <c r="E41" i="1"/>
  <c r="A42" i="1"/>
  <c r="B42" i="1"/>
  <c r="C42" i="1"/>
  <c r="D42" i="1"/>
  <c r="E42" i="1"/>
  <c r="A43" i="1"/>
  <c r="B43" i="1"/>
  <c r="C43" i="1"/>
  <c r="D43" i="1"/>
  <c r="E43" i="1"/>
  <c r="A44" i="1"/>
  <c r="B44" i="1"/>
  <c r="C44" i="1"/>
  <c r="D44" i="1"/>
  <c r="E44" i="1"/>
  <c r="A45" i="1"/>
  <c r="B45" i="1"/>
  <c r="C45" i="1"/>
  <c r="D45" i="1"/>
  <c r="E45" i="1"/>
  <c r="A46" i="1"/>
  <c r="B46" i="1"/>
  <c r="C46" i="1"/>
  <c r="D46" i="1"/>
  <c r="E46" i="1"/>
  <c r="A47" i="1"/>
  <c r="B47" i="1"/>
  <c r="C47" i="1"/>
  <c r="D47" i="1"/>
  <c r="E47" i="1"/>
  <c r="A48" i="1"/>
  <c r="B48" i="1"/>
  <c r="C48" i="1"/>
  <c r="D48" i="1"/>
  <c r="E48" i="1"/>
  <c r="A49" i="1"/>
  <c r="B49" i="1"/>
  <c r="C49" i="1"/>
  <c r="D49" i="1"/>
  <c r="E49" i="1"/>
  <c r="A50" i="1"/>
  <c r="B50" i="1"/>
  <c r="C50" i="1"/>
  <c r="D50" i="1"/>
  <c r="E50" i="1"/>
  <c r="A51" i="1"/>
  <c r="B51" i="1"/>
  <c r="C51" i="1"/>
  <c r="D51" i="1"/>
  <c r="E51" i="1"/>
  <c r="A52" i="1"/>
  <c r="B52" i="1"/>
  <c r="C52" i="1"/>
  <c r="D52" i="1"/>
  <c r="E52" i="1"/>
  <c r="A53" i="1"/>
  <c r="B53" i="1"/>
  <c r="C53" i="1"/>
  <c r="D53" i="1"/>
  <c r="E53" i="1"/>
  <c r="A54" i="1"/>
  <c r="B54" i="1"/>
  <c r="C54" i="1"/>
  <c r="D54" i="1"/>
  <c r="E54" i="1"/>
  <c r="A55" i="1"/>
  <c r="B55" i="1"/>
  <c r="C55" i="1"/>
  <c r="D55" i="1"/>
  <c r="E55" i="1"/>
  <c r="A56" i="1"/>
  <c r="B56" i="1"/>
  <c r="C56" i="1"/>
  <c r="D56" i="1"/>
  <c r="E56" i="1"/>
  <c r="A57" i="1"/>
  <c r="B57" i="1"/>
  <c r="C57" i="1"/>
  <c r="D57" i="1"/>
  <c r="E57" i="1"/>
  <c r="A58" i="1"/>
  <c r="B58" i="1"/>
  <c r="C58" i="1"/>
  <c r="D58" i="1"/>
  <c r="E58" i="1"/>
  <c r="A59" i="1"/>
  <c r="B59" i="1"/>
  <c r="C59" i="1"/>
  <c r="D59" i="1"/>
  <c r="E59" i="1"/>
  <c r="A60" i="1"/>
  <c r="B60" i="1"/>
  <c r="C60" i="1"/>
  <c r="D60" i="1"/>
  <c r="E60" i="1"/>
  <c r="A61" i="1"/>
  <c r="B61" i="1"/>
  <c r="C61" i="1"/>
  <c r="D61" i="1"/>
  <c r="E61" i="1"/>
  <c r="A62" i="1"/>
  <c r="B62" i="1"/>
  <c r="C62" i="1"/>
  <c r="D62" i="1"/>
  <c r="E62" i="1"/>
  <c r="A63" i="1"/>
  <c r="B63" i="1"/>
  <c r="C63" i="1"/>
  <c r="D63" i="1"/>
  <c r="E63" i="1"/>
  <c r="A64" i="1"/>
  <c r="B64" i="1"/>
  <c r="C64" i="1"/>
  <c r="D64" i="1"/>
  <c r="E64" i="1"/>
  <c r="A65" i="1"/>
  <c r="B65" i="1"/>
  <c r="C65" i="1"/>
  <c r="D65" i="1"/>
  <c r="E65" i="1"/>
  <c r="A66" i="1"/>
  <c r="B66" i="1"/>
  <c r="C66" i="1"/>
  <c r="D66" i="1"/>
  <c r="E66" i="1"/>
</calcChain>
</file>

<file path=xl/sharedStrings.xml><?xml version="1.0" encoding="utf-8"?>
<sst xmlns="http://schemas.openxmlformats.org/spreadsheetml/2006/main" count="69" uniqueCount="24">
  <si>
    <t>string</t>
    <phoneticPr fontId="1" type="noConversion"/>
  </si>
  <si>
    <t>int</t>
    <phoneticPr fontId="1" type="noConversion"/>
  </si>
  <si>
    <t>string[]</t>
    <phoneticPr fontId="1" type="noConversion"/>
  </si>
  <si>
    <t>float[]</t>
    <phoneticPr fontId="1" type="noConversion"/>
  </si>
  <si>
    <t>Fires 1 more projectile.</t>
    <phoneticPr fontId="1" type="noConversion"/>
  </si>
  <si>
    <t>Base Damage up by 10</t>
    <phoneticPr fontId="1" type="noConversion"/>
  </si>
  <si>
    <t>Base Damage up by 5</t>
    <phoneticPr fontId="1" type="noConversion"/>
  </si>
  <si>
    <t>Base Damage up by 20</t>
    <phoneticPr fontId="1" type="noConversion"/>
  </si>
  <si>
    <t>Attack Range +40%, Base Damage up by 2</t>
    <phoneticPr fontId="1" type="noConversion"/>
  </si>
  <si>
    <t>Attack Range +20%, Base Damage up by 1</t>
    <phoneticPr fontId="1" type="noConversion"/>
  </si>
  <si>
    <t>Attack Range +20%, Base Damage up by 2</t>
    <phoneticPr fontId="1" type="noConversion"/>
  </si>
  <si>
    <t>Attack Range +100%, Base Damage up by 10</t>
    <phoneticPr fontId="1" type="noConversion"/>
  </si>
  <si>
    <t>Attack Range +100%, Base Damage up by 20</t>
    <phoneticPr fontId="1" type="noConversion"/>
  </si>
  <si>
    <t>Passes through 2 more enemy.</t>
    <phoneticPr fontId="1" type="noConversion"/>
  </si>
  <si>
    <t>Base Damage up by 10, Attack Area up by 25%</t>
    <phoneticPr fontId="1" type="noConversion"/>
  </si>
  <si>
    <t>Base Damage up by 5, Attack Area up by 10%</t>
    <phoneticPr fontId="1" type="noConversion"/>
  </si>
  <si>
    <t>CoolTime reduced by 0.1 secons, Base Damage up by 1</t>
    <phoneticPr fontId="1" type="noConversion"/>
  </si>
  <si>
    <t>CoolTime reduced by 0.1 secons, Base Damage up by 2</t>
    <phoneticPr fontId="1" type="noConversion"/>
  </si>
  <si>
    <t>Base Damage up by 10, CoolTime reduced by 0.5 secons</t>
    <phoneticPr fontId="1" type="noConversion"/>
  </si>
  <si>
    <t>Attack Area up by 25%, CoolTime reduced by 0.5 secons</t>
    <phoneticPr fontId="1" type="noConversion"/>
  </si>
  <si>
    <t>Base Damage up by 10, Speed up by 20%</t>
    <phoneticPr fontId="1" type="noConversion"/>
  </si>
  <si>
    <t>Speed up by 30%, Attack Area up by 25%</t>
    <phoneticPr fontId="1" type="noConversion"/>
  </si>
  <si>
    <t>Effect lasts 0.5 seconds longer., Damage up by 10</t>
    <phoneticPr fontId="1" type="noConversion"/>
  </si>
  <si>
    <t>Effect lasts 0.5 seconds longer., Base Damage up by 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</si>
</sst>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6"/>
  <sheetViews>
    <sheetView tabSelected="1" topLeftCell="A19" workbookViewId="0">
      <selection activeCell="I32" sqref="I32"/>
    </sheetView>
  </sheetViews>
  <sheetFormatPr defaultRowHeight="15.6" x14ac:dyDescent="0.35"/>
  <cols>
    <col min="1" max="1" width="8.796875" style="1"/>
    <col min="2" max="2" width="9.796875" style="1" bestFit="1" customWidth="1"/>
    <col min="3" max="3" width="8.796875" style="1"/>
    <col min="4" max="4" width="31.796875" style="1" bestFit="1" customWidth="1"/>
    <col min="5" max="5" width="8.796875" style="1"/>
    <col min="6" max="6" width="50" style="1" bestFit="1" customWidth="1"/>
    <col min="7" max="16384" width="8.796875" style="1"/>
  </cols>
  <sheetData>
    <row r="2" spans="1:6" x14ac:dyDescent="0.35">
      <c r="A2" s="1" t="s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0</v>
      </c>
    </row>
    <row r="3" spans="1:6" x14ac:dyDescent="0.35">
      <c r="A3" s="1" t="str">
        <f>"Id"</f>
        <v>Id</v>
      </c>
      <c r="B3" s="1" t="str">
        <f>"WeaponId"</f>
        <v>WeaponId</v>
      </c>
      <c r="C3" s="1" t="str">
        <f>"Level"</f>
        <v>Level</v>
      </c>
      <c r="D3" s="1" t="str">
        <f>"EffectName"</f>
        <v>EffectName</v>
      </c>
      <c r="E3" s="1" t="str">
        <f>"EffectValue"</f>
        <v>EffectValue</v>
      </c>
      <c r="F3" s="1" t="str">
        <f>"Description"</f>
        <v>Description</v>
      </c>
    </row>
    <row r="4" spans="1:6" x14ac:dyDescent="0.35">
      <c r="A4" s="1" t="str">
        <f>"262159"</f>
        <v>262159</v>
      </c>
      <c r="B4" s="1" t="str">
        <f t="shared" ref="B4:B10" si="0">"263159"</f>
        <v>263159</v>
      </c>
      <c r="C4" s="1" t="str">
        <f>"2"</f>
        <v>2</v>
      </c>
      <c r="D4" s="1" t="str">
        <f>"Damage"</f>
        <v>Damage</v>
      </c>
      <c r="E4" s="1" t="str">
        <f>"10"</f>
        <v>10</v>
      </c>
      <c r="F4" s="1" t="s">
        <v>5</v>
      </c>
    </row>
    <row r="5" spans="1:6" x14ac:dyDescent="0.35">
      <c r="A5" s="1" t="str">
        <f>"362159"</f>
        <v>362159</v>
      </c>
      <c r="B5" s="1" t="str">
        <f t="shared" si="0"/>
        <v>263159</v>
      </c>
      <c r="C5" s="1" t="str">
        <f>"3"</f>
        <v>3</v>
      </c>
      <c r="D5" s="1" t="str">
        <f>"Damage,ProjectileSpeed"</f>
        <v>Damage,ProjectileSpeed</v>
      </c>
      <c r="E5" s="1" t="str">
        <f>"10,20"</f>
        <v>10,20</v>
      </c>
      <c r="F5" s="1" t="s">
        <v>20</v>
      </c>
    </row>
    <row r="6" spans="1:6" x14ac:dyDescent="0.35">
      <c r="A6" s="1" t="str">
        <f>"462159"</f>
        <v>462159</v>
      </c>
      <c r="B6" s="1" t="str">
        <f t="shared" si="0"/>
        <v>263159</v>
      </c>
      <c r="C6" s="1" t="str">
        <f>"4"</f>
        <v>4</v>
      </c>
      <c r="D6" s="1" t="str">
        <f>"Damage"</f>
        <v>Damage</v>
      </c>
      <c r="E6" s="1" t="str">
        <f>"10"</f>
        <v>10</v>
      </c>
      <c r="F6" s="1" t="s">
        <v>5</v>
      </c>
    </row>
    <row r="7" spans="1:6" x14ac:dyDescent="0.35">
      <c r="A7" s="1" t="str">
        <f>"562159"</f>
        <v>562159</v>
      </c>
      <c r="B7" s="1" t="str">
        <f t="shared" si="0"/>
        <v>263159</v>
      </c>
      <c r="C7" s="1" t="str">
        <f>"5"</f>
        <v>5</v>
      </c>
      <c r="D7" s="1" t="str">
        <f>"Damage,ProjectileSpeed"</f>
        <v>Damage,ProjectileSpeed</v>
      </c>
      <c r="E7" s="1" t="str">
        <f>"10,20"</f>
        <v>10,20</v>
      </c>
      <c r="F7" s="1" t="s">
        <v>20</v>
      </c>
    </row>
    <row r="8" spans="1:6" x14ac:dyDescent="0.35">
      <c r="A8" s="1" t="str">
        <f>"662159"</f>
        <v>662159</v>
      </c>
      <c r="B8" s="1" t="str">
        <f t="shared" si="0"/>
        <v>263159</v>
      </c>
      <c r="C8" s="1" t="str">
        <f>"6"</f>
        <v>6</v>
      </c>
      <c r="D8" s="1" t="str">
        <f>"Damage"</f>
        <v>Damage</v>
      </c>
      <c r="E8" s="1" t="str">
        <f>"10"</f>
        <v>10</v>
      </c>
      <c r="F8" s="1" t="s">
        <v>5</v>
      </c>
    </row>
    <row r="9" spans="1:6" x14ac:dyDescent="0.35">
      <c r="A9" s="1" t="str">
        <f>"762159"</f>
        <v>762159</v>
      </c>
      <c r="B9" s="1" t="str">
        <f t="shared" si="0"/>
        <v>263159</v>
      </c>
      <c r="C9" s="1" t="str">
        <f>"7"</f>
        <v>7</v>
      </c>
      <c r="D9" s="1" t="str">
        <f>"Damage,ProjectileSpeed"</f>
        <v>Damage,ProjectileSpeed</v>
      </c>
      <c r="E9" s="1" t="str">
        <f>"10,20"</f>
        <v>10,20</v>
      </c>
      <c r="F9" s="1" t="s">
        <v>20</v>
      </c>
    </row>
    <row r="10" spans="1:6" x14ac:dyDescent="0.35">
      <c r="A10" s="1" t="str">
        <f>"862159"</f>
        <v>862159</v>
      </c>
      <c r="B10" s="1" t="str">
        <f t="shared" si="0"/>
        <v>263159</v>
      </c>
      <c r="C10" s="1" t="str">
        <f>"8"</f>
        <v>8</v>
      </c>
      <c r="D10" s="1" t="str">
        <f>"Damage"</f>
        <v>Damage</v>
      </c>
      <c r="E10" s="1" t="str">
        <f>"10"</f>
        <v>10</v>
      </c>
      <c r="F10" s="1" t="s">
        <v>5</v>
      </c>
    </row>
    <row r="11" spans="1:6" x14ac:dyDescent="0.35">
      <c r="A11" s="1" t="str">
        <f>"262052"</f>
        <v>262052</v>
      </c>
      <c r="B11" s="1" t="str">
        <f t="shared" ref="B11:B17" si="1">"263052"</f>
        <v>263052</v>
      </c>
      <c r="C11" s="1" t="str">
        <f>"2"</f>
        <v>2</v>
      </c>
      <c r="D11" s="1" t="str">
        <f>"Range,Damage"</f>
        <v>Range,Damage</v>
      </c>
      <c r="E11" s="1" t="str">
        <f>"40,2"</f>
        <v>40,2</v>
      </c>
      <c r="F11" s="1" t="s">
        <v>8</v>
      </c>
    </row>
    <row r="12" spans="1:6" x14ac:dyDescent="0.35">
      <c r="A12" s="1" t="str">
        <f>"362052"</f>
        <v>362052</v>
      </c>
      <c r="B12" s="1" t="str">
        <f t="shared" si="1"/>
        <v>263052</v>
      </c>
      <c r="C12" s="1" t="str">
        <f>"3"</f>
        <v>3</v>
      </c>
      <c r="D12" s="1" t="str">
        <f>"CoolTime,Damage"</f>
        <v>CoolTime,Damage</v>
      </c>
      <c r="E12" s="1" t="str">
        <f>"0.1,1"</f>
        <v>0.1,1</v>
      </c>
      <c r="F12" s="1" t="s">
        <v>16</v>
      </c>
    </row>
    <row r="13" spans="1:6" x14ac:dyDescent="0.35">
      <c r="A13" s="1" t="str">
        <f>"462052"</f>
        <v>462052</v>
      </c>
      <c r="B13" s="1" t="str">
        <f t="shared" si="1"/>
        <v>263052</v>
      </c>
      <c r="C13" s="1" t="str">
        <f>"4"</f>
        <v>4</v>
      </c>
      <c r="D13" s="1" t="str">
        <f>"Range,Damage"</f>
        <v>Range,Damage</v>
      </c>
      <c r="E13" s="1" t="str">
        <f>"20,1"</f>
        <v>20,1</v>
      </c>
      <c r="F13" s="1" t="s">
        <v>9</v>
      </c>
    </row>
    <row r="14" spans="1:6" x14ac:dyDescent="0.35">
      <c r="A14" s="1" t="str">
        <f>"562052"</f>
        <v>562052</v>
      </c>
      <c r="B14" s="1" t="str">
        <f t="shared" si="1"/>
        <v>263052</v>
      </c>
      <c r="C14" s="1" t="str">
        <f>"5"</f>
        <v>5</v>
      </c>
      <c r="D14" s="1" t="str">
        <f>"CoolTime,Damage"</f>
        <v>CoolTime,Damage</v>
      </c>
      <c r="E14" s="1" t="str">
        <f>"0.1,2"</f>
        <v>0.1,2</v>
      </c>
      <c r="F14" s="1" t="s">
        <v>17</v>
      </c>
    </row>
    <row r="15" spans="1:6" x14ac:dyDescent="0.35">
      <c r="A15" s="1" t="str">
        <f>"662052"</f>
        <v>662052</v>
      </c>
      <c r="B15" s="1" t="str">
        <f t="shared" si="1"/>
        <v>263052</v>
      </c>
      <c r="C15" s="1" t="str">
        <f>"6"</f>
        <v>6</v>
      </c>
      <c r="D15" s="1" t="str">
        <f>"Range,Damage"</f>
        <v>Range,Damage</v>
      </c>
      <c r="E15" s="1" t="str">
        <f>"20,1"</f>
        <v>20,1</v>
      </c>
      <c r="F15" s="1" t="s">
        <v>9</v>
      </c>
    </row>
    <row r="16" spans="1:6" x14ac:dyDescent="0.35">
      <c r="A16" s="1" t="str">
        <f>"762052"</f>
        <v>762052</v>
      </c>
      <c r="B16" s="1" t="str">
        <f t="shared" si="1"/>
        <v>263052</v>
      </c>
      <c r="C16" s="1" t="str">
        <f>"7"</f>
        <v>7</v>
      </c>
      <c r="D16" s="1" t="str">
        <f>"CoolTime,Damage"</f>
        <v>CoolTime,Damage</v>
      </c>
      <c r="E16" s="1" t="str">
        <f>"0.1,1"</f>
        <v>0.1,1</v>
      </c>
      <c r="F16" s="1" t="s">
        <v>16</v>
      </c>
    </row>
    <row r="17" spans="1:6" x14ac:dyDescent="0.35">
      <c r="A17" s="1" t="str">
        <f>"862052"</f>
        <v>862052</v>
      </c>
      <c r="B17" s="1" t="str">
        <f t="shared" si="1"/>
        <v>263052</v>
      </c>
      <c r="C17" s="1" t="str">
        <f>"8"</f>
        <v>8</v>
      </c>
      <c r="D17" s="1" t="str">
        <f>"Range,Damage"</f>
        <v>Range,Damage</v>
      </c>
      <c r="E17" s="1" t="str">
        <f>"20,2"</f>
        <v>20,2</v>
      </c>
      <c r="F17" s="1" t="s">
        <v>10</v>
      </c>
    </row>
    <row r="18" spans="1:6" x14ac:dyDescent="0.35">
      <c r="A18" s="1" t="str">
        <f>"262059"</f>
        <v>262059</v>
      </c>
      <c r="B18" s="1" t="str">
        <f t="shared" ref="B18:B24" si="2">"263059"</f>
        <v>263059</v>
      </c>
      <c r="C18" s="1" t="str">
        <f>"2"</f>
        <v>2</v>
      </c>
      <c r="D18" s="1" t="str">
        <f>"ProjectileCount"</f>
        <v>ProjectileCount</v>
      </c>
      <c r="E18" s="1" t="str">
        <f>"1"</f>
        <v>1</v>
      </c>
      <c r="F18" s="1" t="s">
        <v>4</v>
      </c>
    </row>
    <row r="19" spans="1:6" x14ac:dyDescent="0.35">
      <c r="A19" s="1" t="str">
        <f>"362059"</f>
        <v>362059</v>
      </c>
      <c r="B19" s="1" t="str">
        <f t="shared" si="2"/>
        <v>263059</v>
      </c>
      <c r="C19" s="1" t="str">
        <f>"3"</f>
        <v>3</v>
      </c>
      <c r="D19" s="1" t="str">
        <f>"Damage,CoolTime"</f>
        <v>Damage,CoolTime</v>
      </c>
      <c r="E19" s="1" t="str">
        <f>"10,0.5"</f>
        <v>10,0.5</v>
      </c>
      <c r="F19" s="1" t="s">
        <v>18</v>
      </c>
    </row>
    <row r="20" spans="1:6" x14ac:dyDescent="0.35">
      <c r="A20" s="1" t="str">
        <f>"462059"</f>
        <v>462059</v>
      </c>
      <c r="B20" s="1" t="str">
        <f t="shared" si="2"/>
        <v>263059</v>
      </c>
      <c r="C20" s="1" t="str">
        <f>"4"</f>
        <v>4</v>
      </c>
      <c r="D20" s="1" t="str">
        <f>"ProjectileCount"</f>
        <v>ProjectileCount</v>
      </c>
      <c r="E20" s="1" t="str">
        <f>"1"</f>
        <v>1</v>
      </c>
      <c r="F20" s="1" t="s">
        <v>4</v>
      </c>
    </row>
    <row r="21" spans="1:6" x14ac:dyDescent="0.35">
      <c r="A21" s="1" t="str">
        <f>"562059"</f>
        <v>562059</v>
      </c>
      <c r="B21" s="1" t="str">
        <f t="shared" si="2"/>
        <v>263059</v>
      </c>
      <c r="C21" s="1" t="str">
        <f>"5"</f>
        <v>5</v>
      </c>
      <c r="D21" s="1" t="str">
        <f>"Damage,Range"</f>
        <v>Damage,Range</v>
      </c>
      <c r="E21" s="1" t="str">
        <f>"10,25"</f>
        <v>10,25</v>
      </c>
      <c r="F21" s="1" t="s">
        <v>14</v>
      </c>
    </row>
    <row r="22" spans="1:6" x14ac:dyDescent="0.35">
      <c r="A22" s="1" t="str">
        <f>"662059"</f>
        <v>662059</v>
      </c>
      <c r="B22" s="1" t="str">
        <f t="shared" si="2"/>
        <v>263059</v>
      </c>
      <c r="C22" s="1" t="str">
        <f>"6"</f>
        <v>6</v>
      </c>
      <c r="D22" s="1" t="str">
        <f>"ProjectileCount"</f>
        <v>ProjectileCount</v>
      </c>
      <c r="E22" s="1" t="str">
        <f>"1"</f>
        <v>1</v>
      </c>
      <c r="F22" s="1" t="s">
        <v>4</v>
      </c>
    </row>
    <row r="23" spans="1:6" x14ac:dyDescent="0.35">
      <c r="A23" s="1" t="str">
        <f>"762059"</f>
        <v>762059</v>
      </c>
      <c r="B23" s="1" t="str">
        <f t="shared" si="2"/>
        <v>263059</v>
      </c>
      <c r="C23" s="1" t="str">
        <f>"7"</f>
        <v>7</v>
      </c>
      <c r="D23" s="1" t="str">
        <f>"Range,CoolTime"</f>
        <v>Range,CoolTime</v>
      </c>
      <c r="E23" s="1" t="str">
        <f>"25,0.5"</f>
        <v>25,0.5</v>
      </c>
      <c r="F23" s="1" t="s">
        <v>19</v>
      </c>
    </row>
    <row r="24" spans="1:6" x14ac:dyDescent="0.35">
      <c r="A24" s="1" t="str">
        <f>"862059"</f>
        <v>862059</v>
      </c>
      <c r="B24" s="1" t="str">
        <f t="shared" si="2"/>
        <v>263059</v>
      </c>
      <c r="C24" s="1" t="str">
        <f>"8"</f>
        <v>8</v>
      </c>
      <c r="D24" s="1" t="str">
        <f>"ProjectileCount"</f>
        <v>ProjectileCount</v>
      </c>
      <c r="E24" s="1" t="str">
        <f>"1"</f>
        <v>1</v>
      </c>
      <c r="F24" s="1" t="s">
        <v>4</v>
      </c>
    </row>
    <row r="25" spans="1:6" x14ac:dyDescent="0.35">
      <c r="A25" s="1" t="str">
        <f>"262079"</f>
        <v>262079</v>
      </c>
      <c r="B25" s="1" t="str">
        <f t="shared" ref="B25:B31" si="3">"263079"</f>
        <v>263079</v>
      </c>
      <c r="C25" s="1" t="str">
        <f>"2"</f>
        <v>2</v>
      </c>
      <c r="D25" s="1" t="str">
        <f>"ProjectileCount"</f>
        <v>ProjectileCount</v>
      </c>
      <c r="E25" s="1" t="str">
        <f>"1"</f>
        <v>1</v>
      </c>
      <c r="F25" s="1" t="s">
        <v>4</v>
      </c>
    </row>
    <row r="26" spans="1:6" x14ac:dyDescent="0.35">
      <c r="A26" s="1" t="str">
        <f>"362079"</f>
        <v>362079</v>
      </c>
      <c r="B26" s="1" t="str">
        <f t="shared" si="3"/>
        <v>263079</v>
      </c>
      <c r="C26" s="1" t="str">
        <f>"3"</f>
        <v>3</v>
      </c>
      <c r="D26" s="1" t="str">
        <f>"ProjectileSpeed,Range"</f>
        <v>ProjectileSpeed,Range</v>
      </c>
      <c r="E26" s="1" t="str">
        <f>"30,25"</f>
        <v>30,25</v>
      </c>
      <c r="F26" s="1" t="s">
        <v>21</v>
      </c>
    </row>
    <row r="27" spans="1:6" x14ac:dyDescent="0.35">
      <c r="A27" s="1" t="str">
        <f>"462079"</f>
        <v>462079</v>
      </c>
      <c r="B27" s="1" t="str">
        <f t="shared" si="3"/>
        <v>263079</v>
      </c>
      <c r="C27" s="1" t="str">
        <f>"4"</f>
        <v>4</v>
      </c>
      <c r="D27" s="1" t="str">
        <f>"Duration,Damage"</f>
        <v>Duration,Damage</v>
      </c>
      <c r="E27" s="1" t="str">
        <f>"0.5,10"</f>
        <v>0.5,10</v>
      </c>
      <c r="F27" s="1" t="s">
        <v>22</v>
      </c>
    </row>
    <row r="28" spans="1:6" x14ac:dyDescent="0.35">
      <c r="A28" s="1" t="str">
        <f>"562079"</f>
        <v>562079</v>
      </c>
      <c r="B28" s="1" t="str">
        <f t="shared" si="3"/>
        <v>263079</v>
      </c>
      <c r="C28" s="1" t="str">
        <f>"5"</f>
        <v>5</v>
      </c>
      <c r="D28" s="1" t="str">
        <f>"ProjectileCount"</f>
        <v>ProjectileCount</v>
      </c>
      <c r="E28" s="1" t="str">
        <f>"1"</f>
        <v>1</v>
      </c>
      <c r="F28" s="1" t="s">
        <v>4</v>
      </c>
    </row>
    <row r="29" spans="1:6" x14ac:dyDescent="0.35">
      <c r="A29" s="1" t="str">
        <f>"662079"</f>
        <v>662079</v>
      </c>
      <c r="B29" s="1" t="str">
        <f t="shared" si="3"/>
        <v>263079</v>
      </c>
      <c r="C29" s="1" t="str">
        <f>"6"</f>
        <v>6</v>
      </c>
      <c r="D29" s="1" t="str">
        <f>"ProjectileSpeed,Range"</f>
        <v>ProjectileSpeed,Range</v>
      </c>
      <c r="E29" s="1" t="str">
        <f>"30,25"</f>
        <v>30,25</v>
      </c>
      <c r="F29" s="1" t="s">
        <v>21</v>
      </c>
    </row>
    <row r="30" spans="1:6" x14ac:dyDescent="0.35">
      <c r="A30" s="1" t="str">
        <f>"762079"</f>
        <v>762079</v>
      </c>
      <c r="B30" s="1" t="str">
        <f t="shared" si="3"/>
        <v>263079</v>
      </c>
      <c r="C30" s="1" t="str">
        <f>"7"</f>
        <v>7</v>
      </c>
      <c r="D30" s="1" t="str">
        <f>"Duration,Damage"</f>
        <v>Duration,Damage</v>
      </c>
      <c r="E30" s="1" t="str">
        <f>"0.5,10"</f>
        <v>0.5,10</v>
      </c>
      <c r="F30" s="1" t="s">
        <v>22</v>
      </c>
    </row>
    <row r="31" spans="1:6" x14ac:dyDescent="0.35">
      <c r="A31" s="1" t="str">
        <f>"862079"</f>
        <v>862079</v>
      </c>
      <c r="B31" s="1" t="str">
        <f t="shared" si="3"/>
        <v>263079</v>
      </c>
      <c r="C31" s="1" t="str">
        <f>"8"</f>
        <v>8</v>
      </c>
      <c r="D31" s="1" t="str">
        <f>"ProjectileCount"</f>
        <v>ProjectileCount</v>
      </c>
      <c r="E31" s="1" t="str">
        <f>"1"</f>
        <v>1</v>
      </c>
      <c r="F31" s="1" t="s">
        <v>4</v>
      </c>
    </row>
    <row r="32" spans="1:6" x14ac:dyDescent="0.35">
      <c r="A32" s="1" t="str">
        <f>"262080"</f>
        <v>262080</v>
      </c>
      <c r="B32" s="1" t="str">
        <f t="shared" ref="B32:B38" si="4">"263080"</f>
        <v>263080</v>
      </c>
      <c r="C32" s="1" t="str">
        <f>"2"</f>
        <v>2</v>
      </c>
      <c r="D32" s="1" t="str">
        <f>"ProjectileCount"</f>
        <v>ProjectileCount</v>
      </c>
      <c r="E32" s="1" t="str">
        <f>"1"</f>
        <v>1</v>
      </c>
      <c r="F32" s="1" t="s">
        <v>4</v>
      </c>
    </row>
    <row r="33" spans="1:6" x14ac:dyDescent="0.35">
      <c r="A33" s="1" t="str">
        <f>"362080"</f>
        <v>362080</v>
      </c>
      <c r="B33" s="1" t="str">
        <f t="shared" si="4"/>
        <v>263080</v>
      </c>
      <c r="C33" s="1" t="str">
        <f>"3"</f>
        <v>3</v>
      </c>
      <c r="D33" s="1" t="str">
        <f>"ProjectileSpeed,Range"</f>
        <v>ProjectileSpeed,Range</v>
      </c>
      <c r="E33" s="1" t="str">
        <f>"30,25"</f>
        <v>30,25</v>
      </c>
      <c r="F33" s="1" t="s">
        <v>21</v>
      </c>
    </row>
    <row r="34" spans="1:6" x14ac:dyDescent="0.35">
      <c r="A34" s="1" t="str">
        <f>"462080"</f>
        <v>462080</v>
      </c>
      <c r="B34" s="1" t="str">
        <f t="shared" si="4"/>
        <v>263080</v>
      </c>
      <c r="C34" s="1" t="str">
        <f>"4"</f>
        <v>4</v>
      </c>
      <c r="D34" s="1" t="str">
        <f>"Duration,Damage"</f>
        <v>Duration,Damage</v>
      </c>
      <c r="E34" s="1" t="str">
        <f>"0.5,10"</f>
        <v>0.5,10</v>
      </c>
      <c r="F34" s="1" t="s">
        <v>23</v>
      </c>
    </row>
    <row r="35" spans="1:6" x14ac:dyDescent="0.35">
      <c r="A35" s="1" t="str">
        <f>"562080"</f>
        <v>562080</v>
      </c>
      <c r="B35" s="1" t="str">
        <f t="shared" si="4"/>
        <v>263080</v>
      </c>
      <c r="C35" s="1" t="str">
        <f>"5"</f>
        <v>5</v>
      </c>
      <c r="D35" s="1" t="str">
        <f>"ProjectileCount"</f>
        <v>ProjectileCount</v>
      </c>
      <c r="E35" s="1" t="str">
        <f>"1"</f>
        <v>1</v>
      </c>
      <c r="F35" s="1" t="s">
        <v>4</v>
      </c>
    </row>
    <row r="36" spans="1:6" x14ac:dyDescent="0.35">
      <c r="A36" s="1" t="str">
        <f>"662080"</f>
        <v>662080</v>
      </c>
      <c r="B36" s="1" t="str">
        <f t="shared" si="4"/>
        <v>263080</v>
      </c>
      <c r="C36" s="1" t="str">
        <f>"6"</f>
        <v>6</v>
      </c>
      <c r="D36" s="1" t="str">
        <f>"ProjectileSpeed,Range"</f>
        <v>ProjectileSpeed,Range</v>
      </c>
      <c r="E36" s="1" t="str">
        <f>"30,25"</f>
        <v>30,25</v>
      </c>
      <c r="F36" s="1" t="s">
        <v>21</v>
      </c>
    </row>
    <row r="37" spans="1:6" x14ac:dyDescent="0.35">
      <c r="A37" s="1" t="str">
        <f>"762080"</f>
        <v>762080</v>
      </c>
      <c r="B37" s="1" t="str">
        <f t="shared" si="4"/>
        <v>263080</v>
      </c>
      <c r="C37" s="1" t="str">
        <f>"7"</f>
        <v>7</v>
      </c>
      <c r="D37" s="1" t="str">
        <f>"Duration,Damage"</f>
        <v>Duration,Damage</v>
      </c>
      <c r="E37" s="1" t="str">
        <f>"0.5,10"</f>
        <v>0.5,10</v>
      </c>
      <c r="F37" s="1" t="s">
        <v>23</v>
      </c>
    </row>
    <row r="38" spans="1:6" x14ac:dyDescent="0.35">
      <c r="A38" s="1" t="str">
        <f>"862080"</f>
        <v>862080</v>
      </c>
      <c r="B38" s="1" t="str">
        <f t="shared" si="4"/>
        <v>263080</v>
      </c>
      <c r="C38" s="1" t="str">
        <f>"8"</f>
        <v>8</v>
      </c>
      <c r="D38" s="1" t="str">
        <f>"ProjectileCount"</f>
        <v>ProjectileCount</v>
      </c>
      <c r="E38" s="1" t="str">
        <f>"1"</f>
        <v>1</v>
      </c>
      <c r="F38" s="1" t="s">
        <v>4</v>
      </c>
    </row>
    <row r="39" spans="1:6" x14ac:dyDescent="0.35">
      <c r="A39" s="1" t="str">
        <f>"262084"</f>
        <v>262084</v>
      </c>
      <c r="B39" s="1" t="str">
        <f t="shared" ref="B39:B45" si="5">"263084"</f>
        <v>263084</v>
      </c>
      <c r="C39" s="1" t="str">
        <f>"2"</f>
        <v>2</v>
      </c>
      <c r="D39" s="1" t="str">
        <f>"ProjectileCount"</f>
        <v>ProjectileCount</v>
      </c>
      <c r="E39" s="1" t="str">
        <f>"1"</f>
        <v>1</v>
      </c>
      <c r="F39" s="1" t="s">
        <v>4</v>
      </c>
    </row>
    <row r="40" spans="1:6" x14ac:dyDescent="0.35">
      <c r="A40" s="1" t="str">
        <f>"362084"</f>
        <v>362084</v>
      </c>
      <c r="B40" s="1" t="str">
        <f t="shared" si="5"/>
        <v>263084</v>
      </c>
      <c r="C40" s="1" t="str">
        <f>"3"</f>
        <v>3</v>
      </c>
      <c r="D40" s="1" t="str">
        <f>"Range,Damage"</f>
        <v>Range,Damage</v>
      </c>
      <c r="E40" s="1" t="str">
        <f>"100,10"</f>
        <v>100,10</v>
      </c>
      <c r="F40" s="1" t="s">
        <v>11</v>
      </c>
    </row>
    <row r="41" spans="1:6" x14ac:dyDescent="0.35">
      <c r="A41" s="1" t="str">
        <f>"462084"</f>
        <v>462084</v>
      </c>
      <c r="B41" s="1" t="str">
        <f t="shared" si="5"/>
        <v>263084</v>
      </c>
      <c r="C41" s="1" t="str">
        <f>"4"</f>
        <v>4</v>
      </c>
      <c r="D41" s="1" t="str">
        <f>"ProjectileCount"</f>
        <v>ProjectileCount</v>
      </c>
      <c r="E41" s="1" t="str">
        <f>"1"</f>
        <v>1</v>
      </c>
      <c r="F41" s="1" t="s">
        <v>4</v>
      </c>
    </row>
    <row r="42" spans="1:6" x14ac:dyDescent="0.35">
      <c r="A42" s="1" t="str">
        <f>"562084"</f>
        <v>562084</v>
      </c>
      <c r="B42" s="1" t="str">
        <f t="shared" si="5"/>
        <v>263084</v>
      </c>
      <c r="C42" s="1" t="str">
        <f>"5"</f>
        <v>5</v>
      </c>
      <c r="D42" s="1" t="str">
        <f>"Range,Damage"</f>
        <v>Range,Damage</v>
      </c>
      <c r="E42" s="1" t="str">
        <f>"100,20"</f>
        <v>100,20</v>
      </c>
      <c r="F42" s="1" t="s">
        <v>12</v>
      </c>
    </row>
    <row r="43" spans="1:6" x14ac:dyDescent="0.35">
      <c r="A43" s="1" t="str">
        <f>"662084"</f>
        <v>662084</v>
      </c>
      <c r="B43" s="1" t="str">
        <f t="shared" si="5"/>
        <v>263084</v>
      </c>
      <c r="C43" s="1" t="str">
        <f>"6"</f>
        <v>6</v>
      </c>
      <c r="D43" s="1" t="str">
        <f>"ProjectileCount"</f>
        <v>ProjectileCount</v>
      </c>
      <c r="E43" s="1" t="str">
        <f>"1"</f>
        <v>1</v>
      </c>
      <c r="F43" s="1" t="s">
        <v>4</v>
      </c>
    </row>
    <row r="44" spans="1:6" x14ac:dyDescent="0.35">
      <c r="A44" s="1" t="str">
        <f>"762084"</f>
        <v>762084</v>
      </c>
      <c r="B44" s="1" t="str">
        <f t="shared" si="5"/>
        <v>263084</v>
      </c>
      <c r="C44" s="1" t="str">
        <f>"7"</f>
        <v>7</v>
      </c>
      <c r="D44" s="1" t="str">
        <f>"Range,Damage"</f>
        <v>Range,Damage</v>
      </c>
      <c r="E44" s="1" t="str">
        <f>"100,20"</f>
        <v>100,20</v>
      </c>
      <c r="F44" s="1" t="s">
        <v>12</v>
      </c>
    </row>
    <row r="45" spans="1:6" x14ac:dyDescent="0.35">
      <c r="A45" s="1" t="str">
        <f>"862084"</f>
        <v>862084</v>
      </c>
      <c r="B45" s="1" t="str">
        <f t="shared" si="5"/>
        <v>263084</v>
      </c>
      <c r="C45" s="1" t="str">
        <f>"8"</f>
        <v>8</v>
      </c>
      <c r="D45" s="1" t="str">
        <f>"ProjectileCount"</f>
        <v>ProjectileCount</v>
      </c>
      <c r="E45" s="1" t="str">
        <f>"1"</f>
        <v>1</v>
      </c>
      <c r="F45" s="1" t="s">
        <v>4</v>
      </c>
    </row>
    <row r="46" spans="1:6" x14ac:dyDescent="0.35">
      <c r="A46" s="1" t="str">
        <f>"262160"</f>
        <v>262160</v>
      </c>
      <c r="B46" s="1" t="str">
        <f t="shared" ref="B46:B52" si="6">"263160"</f>
        <v>263160</v>
      </c>
      <c r="C46" s="1" t="str">
        <f>"2"</f>
        <v>2</v>
      </c>
      <c r="D46" s="1" t="str">
        <f>"ProjectileCount"</f>
        <v>ProjectileCount</v>
      </c>
      <c r="E46" s="1" t="str">
        <f>"1"</f>
        <v>1</v>
      </c>
      <c r="F46" s="1" t="s">
        <v>4</v>
      </c>
    </row>
    <row r="47" spans="1:6" x14ac:dyDescent="0.35">
      <c r="A47" s="1" t="str">
        <f>"362160"</f>
        <v>362160</v>
      </c>
      <c r="B47" s="1" t="str">
        <f t="shared" si="6"/>
        <v>263160</v>
      </c>
      <c r="C47" s="1" t="str">
        <f>"3"</f>
        <v>3</v>
      </c>
      <c r="D47" s="1" t="str">
        <f>"ProjectileSpeed,Range"</f>
        <v>ProjectileSpeed,Range</v>
      </c>
      <c r="E47" s="1" t="str">
        <f>"30,25"</f>
        <v>30,25</v>
      </c>
      <c r="F47" s="1" t="s">
        <v>21</v>
      </c>
    </row>
    <row r="48" spans="1:6" x14ac:dyDescent="0.35">
      <c r="A48" s="1" t="str">
        <f>"462160"</f>
        <v>462160</v>
      </c>
      <c r="B48" s="1" t="str">
        <f t="shared" si="6"/>
        <v>263160</v>
      </c>
      <c r="C48" s="1" t="str">
        <f>"4"</f>
        <v>4</v>
      </c>
      <c r="D48" s="1" t="str">
        <f>"Duration,Damage"</f>
        <v>Duration,Damage</v>
      </c>
      <c r="E48" s="1" t="str">
        <f>"0.5,10"</f>
        <v>0.5,10</v>
      </c>
      <c r="F48" s="1" t="s">
        <v>23</v>
      </c>
    </row>
    <row r="49" spans="1:6" x14ac:dyDescent="0.35">
      <c r="A49" s="1" t="str">
        <f>"562160"</f>
        <v>562160</v>
      </c>
      <c r="B49" s="1" t="str">
        <f t="shared" si="6"/>
        <v>263160</v>
      </c>
      <c r="C49" s="1" t="str">
        <f>"5"</f>
        <v>5</v>
      </c>
      <c r="D49" s="1" t="str">
        <f>"ProjectileCount"</f>
        <v>ProjectileCount</v>
      </c>
      <c r="E49" s="1" t="str">
        <f>"1"</f>
        <v>1</v>
      </c>
      <c r="F49" s="1" t="s">
        <v>4</v>
      </c>
    </row>
    <row r="50" spans="1:6" x14ac:dyDescent="0.35">
      <c r="A50" s="1" t="str">
        <f>"662160"</f>
        <v>662160</v>
      </c>
      <c r="B50" s="1" t="str">
        <f t="shared" si="6"/>
        <v>263160</v>
      </c>
      <c r="C50" s="1" t="str">
        <f>"6"</f>
        <v>6</v>
      </c>
      <c r="D50" s="1" t="str">
        <f>"ProjectileSpeed,Range"</f>
        <v>ProjectileSpeed,Range</v>
      </c>
      <c r="E50" s="1" t="str">
        <f>"30,25"</f>
        <v>30,25</v>
      </c>
      <c r="F50" s="1" t="s">
        <v>21</v>
      </c>
    </row>
    <row r="51" spans="1:6" x14ac:dyDescent="0.35">
      <c r="A51" s="1" t="str">
        <f>"762160"</f>
        <v>762160</v>
      </c>
      <c r="B51" s="1" t="str">
        <f t="shared" si="6"/>
        <v>263160</v>
      </c>
      <c r="C51" s="1" t="str">
        <f>"7"</f>
        <v>7</v>
      </c>
      <c r="D51" s="1" t="str">
        <f>"Duration,Damage"</f>
        <v>Duration,Damage</v>
      </c>
      <c r="E51" s="1" t="str">
        <f>"0.5,10"</f>
        <v>0.5,10</v>
      </c>
      <c r="F51" s="1" t="s">
        <v>23</v>
      </c>
    </row>
    <row r="52" spans="1:6" x14ac:dyDescent="0.35">
      <c r="A52" s="1" t="str">
        <f>"862160"</f>
        <v>862160</v>
      </c>
      <c r="B52" s="1" t="str">
        <f t="shared" si="6"/>
        <v>263160</v>
      </c>
      <c r="C52" s="1" t="str">
        <f>"8"</f>
        <v>8</v>
      </c>
      <c r="D52" s="1" t="str">
        <f>"ProjectileCount"</f>
        <v>ProjectileCount</v>
      </c>
      <c r="E52" s="1" t="str">
        <f>"1"</f>
        <v>1</v>
      </c>
      <c r="F52" s="1" t="s">
        <v>4</v>
      </c>
    </row>
    <row r="53" spans="1:6" x14ac:dyDescent="0.35">
      <c r="A53" s="1" t="str">
        <f>"262158"</f>
        <v>262158</v>
      </c>
      <c r="B53" s="1" t="str">
        <f t="shared" ref="B53:B59" si="7">"263158"</f>
        <v>263158</v>
      </c>
      <c r="C53" s="1" t="str">
        <f>"2"</f>
        <v>2</v>
      </c>
      <c r="D53" s="1" t="str">
        <f>"ProjectileCount"</f>
        <v>ProjectileCount</v>
      </c>
      <c r="E53" s="1" t="str">
        <f>"1"</f>
        <v>1</v>
      </c>
      <c r="F53" s="1" t="s">
        <v>4</v>
      </c>
    </row>
    <row r="54" spans="1:6" x14ac:dyDescent="0.35">
      <c r="A54" s="1" t="str">
        <f>"362158"</f>
        <v>362158</v>
      </c>
      <c r="B54" s="1" t="str">
        <f t="shared" si="7"/>
        <v>263158</v>
      </c>
      <c r="C54" s="1" t="str">
        <f>"3"</f>
        <v>3</v>
      </c>
      <c r="D54" s="1" t="str">
        <f>"Damage"</f>
        <v>Damage</v>
      </c>
      <c r="E54" s="1" t="str">
        <f>"5"</f>
        <v>5</v>
      </c>
      <c r="F54" s="1" t="s">
        <v>6</v>
      </c>
    </row>
    <row r="55" spans="1:6" x14ac:dyDescent="0.35">
      <c r="A55" s="1" t="str">
        <f>"462158"</f>
        <v>462158</v>
      </c>
      <c r="B55" s="1" t="str">
        <f t="shared" si="7"/>
        <v>263158</v>
      </c>
      <c r="C55" s="1" t="str">
        <f>"4"</f>
        <v>4</v>
      </c>
      <c r="D55" s="1" t="str">
        <f>"Damage,Range"</f>
        <v>Damage,Range</v>
      </c>
      <c r="E55" s="1" t="str">
        <f>"5,10"</f>
        <v>5,10</v>
      </c>
      <c r="F55" s="1" t="s">
        <v>15</v>
      </c>
    </row>
    <row r="56" spans="1:6" x14ac:dyDescent="0.35">
      <c r="A56" s="1" t="str">
        <f>"562158"</f>
        <v>562158</v>
      </c>
      <c r="B56" s="1" t="str">
        <f t="shared" si="7"/>
        <v>263158</v>
      </c>
      <c r="C56" s="1" t="str">
        <f>"5"</f>
        <v>5</v>
      </c>
      <c r="D56" s="1" t="str">
        <f>"Damage"</f>
        <v>Damage</v>
      </c>
      <c r="E56" s="1" t="str">
        <f>"5"</f>
        <v>5</v>
      </c>
      <c r="F56" s="1" t="s">
        <v>6</v>
      </c>
    </row>
    <row r="57" spans="1:6" x14ac:dyDescent="0.35">
      <c r="A57" s="1" t="str">
        <f>"662158"</f>
        <v>662158</v>
      </c>
      <c r="B57" s="1" t="str">
        <f t="shared" si="7"/>
        <v>263158</v>
      </c>
      <c r="C57" s="1" t="str">
        <f>"6"</f>
        <v>6</v>
      </c>
      <c r="D57" s="1" t="str">
        <f>"Damage,Range"</f>
        <v>Damage,Range</v>
      </c>
      <c r="E57" s="1" t="str">
        <f>"5,10"</f>
        <v>5,10</v>
      </c>
      <c r="F57" s="1" t="s">
        <v>15</v>
      </c>
    </row>
    <row r="58" spans="1:6" x14ac:dyDescent="0.35">
      <c r="A58" s="1" t="str">
        <f>"762158"</f>
        <v>762158</v>
      </c>
      <c r="B58" s="1" t="str">
        <f t="shared" si="7"/>
        <v>263158</v>
      </c>
      <c r="C58" s="1" t="str">
        <f>"7"</f>
        <v>7</v>
      </c>
      <c r="D58" s="1" t="str">
        <f>"Damage"</f>
        <v>Damage</v>
      </c>
      <c r="E58" s="1" t="str">
        <f>"5"</f>
        <v>5</v>
      </c>
      <c r="F58" s="1" t="s">
        <v>6</v>
      </c>
    </row>
    <row r="59" spans="1:6" x14ac:dyDescent="0.35">
      <c r="A59" s="1" t="str">
        <f>"862158"</f>
        <v>862158</v>
      </c>
      <c r="B59" s="1" t="str">
        <f t="shared" si="7"/>
        <v>263158</v>
      </c>
      <c r="C59" s="1" t="str">
        <f>"8"</f>
        <v>8</v>
      </c>
      <c r="D59" s="1" t="str">
        <f>"Damage"</f>
        <v>Damage</v>
      </c>
      <c r="E59" s="1" t="str">
        <f>"5"</f>
        <v>5</v>
      </c>
      <c r="F59" s="1" t="s">
        <v>6</v>
      </c>
    </row>
    <row r="60" spans="1:6" x14ac:dyDescent="0.35">
      <c r="A60" s="1" t="str">
        <f>"262161"</f>
        <v>262161</v>
      </c>
      <c r="B60" s="1" t="str">
        <f t="shared" ref="B60:B66" si="8">"263161"</f>
        <v>263161</v>
      </c>
      <c r="C60" s="1" t="str">
        <f>"2"</f>
        <v>2</v>
      </c>
      <c r="D60" s="1" t="str">
        <f>"ProjectileCount"</f>
        <v>ProjectileCount</v>
      </c>
      <c r="E60" s="1" t="str">
        <f>"1"</f>
        <v>1</v>
      </c>
      <c r="F60" s="1" t="s">
        <v>4</v>
      </c>
    </row>
    <row r="61" spans="1:6" x14ac:dyDescent="0.35">
      <c r="A61" s="1" t="str">
        <f>"362161"</f>
        <v>362161</v>
      </c>
      <c r="B61" s="1" t="str">
        <f t="shared" si="8"/>
        <v>263161</v>
      </c>
      <c r="C61" s="1" t="str">
        <f>"3"</f>
        <v>3</v>
      </c>
      <c r="D61" s="1" t="str">
        <f>"Damage"</f>
        <v>Damage</v>
      </c>
      <c r="E61" s="1" t="str">
        <f>"20"</f>
        <v>20</v>
      </c>
      <c r="F61" s="1" t="s">
        <v>7</v>
      </c>
    </row>
    <row r="62" spans="1:6" x14ac:dyDescent="0.35">
      <c r="A62" s="1" t="str">
        <f>"462161"</f>
        <v>462161</v>
      </c>
      <c r="B62" s="1" t="str">
        <f t="shared" si="8"/>
        <v>263161</v>
      </c>
      <c r="C62" s="1" t="str">
        <f>"4"</f>
        <v>4</v>
      </c>
      <c r="D62" s="1" t="str">
        <f>"ProjectilePenetration"</f>
        <v>ProjectilePenetration</v>
      </c>
      <c r="E62" s="1" t="str">
        <f>"2"</f>
        <v>2</v>
      </c>
      <c r="F62" s="1" t="s">
        <v>13</v>
      </c>
    </row>
    <row r="63" spans="1:6" x14ac:dyDescent="0.35">
      <c r="A63" s="1" t="str">
        <f>"562161"</f>
        <v>562161</v>
      </c>
      <c r="B63" s="1" t="str">
        <f t="shared" si="8"/>
        <v>263161</v>
      </c>
      <c r="C63" s="1" t="str">
        <f>"5"</f>
        <v>5</v>
      </c>
      <c r="D63" s="1" t="str">
        <f>"ProjectileCount"</f>
        <v>ProjectileCount</v>
      </c>
      <c r="E63" s="1" t="str">
        <f>"1"</f>
        <v>1</v>
      </c>
      <c r="F63" s="1" t="s">
        <v>4</v>
      </c>
    </row>
    <row r="64" spans="1:6" x14ac:dyDescent="0.35">
      <c r="A64" s="1" t="str">
        <f>"662161"</f>
        <v>662161</v>
      </c>
      <c r="B64" s="1" t="str">
        <f t="shared" si="8"/>
        <v>263161</v>
      </c>
      <c r="C64" s="1" t="str">
        <f>"6"</f>
        <v>6</v>
      </c>
      <c r="D64" s="1" t="str">
        <f>"Damage"</f>
        <v>Damage</v>
      </c>
      <c r="E64" s="1" t="str">
        <f>"20"</f>
        <v>20</v>
      </c>
      <c r="F64" s="1" t="s">
        <v>7</v>
      </c>
    </row>
    <row r="65" spans="1:6" x14ac:dyDescent="0.35">
      <c r="A65" s="1" t="str">
        <f>"762161"</f>
        <v>762161</v>
      </c>
      <c r="B65" s="1" t="str">
        <f t="shared" si="8"/>
        <v>263161</v>
      </c>
      <c r="C65" s="1" t="str">
        <f>"7"</f>
        <v>7</v>
      </c>
      <c r="D65" s="1" t="str">
        <f>"ProjectilePenetration"</f>
        <v>ProjectilePenetration</v>
      </c>
      <c r="E65" s="1" t="str">
        <f>"2"</f>
        <v>2</v>
      </c>
      <c r="F65" s="1" t="s">
        <v>13</v>
      </c>
    </row>
    <row r="66" spans="1:6" x14ac:dyDescent="0.35">
      <c r="A66" s="1" t="str">
        <f>"862161"</f>
        <v>862161</v>
      </c>
      <c r="B66" s="1" t="str">
        <f t="shared" si="8"/>
        <v>263161</v>
      </c>
      <c r="C66" s="1" t="str">
        <f>"8"</f>
        <v>8</v>
      </c>
      <c r="D66" s="1" t="str">
        <f>"Damage"</f>
        <v>Damage</v>
      </c>
      <c r="E66" s="1" t="str">
        <f>"20"</f>
        <v>20</v>
      </c>
      <c r="F66" s="1" t="s">
        <v>7</v>
      </c>
    </row>
  </sheetData>
  <autoFilter ref="A3:F66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moonf</dc:creator>
  <cp:lastModifiedBy>moonfgg@naver.com</cp:lastModifiedBy>
  <dcterms:created xsi:type="dcterms:W3CDTF">2015-06-05T18:19:34Z</dcterms:created>
  <dcterms:modified xsi:type="dcterms:W3CDTF">2026-06-04T13:38:37Z</dcterms:modified>
</cp:coreProperties>
</file>