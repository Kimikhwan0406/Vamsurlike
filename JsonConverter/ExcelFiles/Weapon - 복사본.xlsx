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11236073-90BE-4424-87D6-C25002DCD4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e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5" i="1"/>
</calcChain>
</file>

<file path=xl/sharedStrings.xml><?xml version="1.0" encoding="utf-8"?>
<sst xmlns="http://schemas.openxmlformats.org/spreadsheetml/2006/main" count="521" uniqueCount="464">
  <si>
    <t>string</t>
    <phoneticPr fontId="1" type="noConversion"/>
  </si>
  <si>
    <t>Id</t>
    <phoneticPr fontId="1" type="noConversion"/>
  </si>
  <si>
    <t>Weapon</t>
  </si>
  <si>
    <t>Base Damage</t>
  </si>
  <si>
    <t>Max Level</t>
  </si>
  <si>
    <t>Rarity</t>
  </si>
  <si>
    <t>Whip</t>
  </si>
  <si>
    <t>Magic Wand</t>
  </si>
  <si>
    <t>Knife</t>
  </si>
  <si>
    <t>Axe</t>
  </si>
  <si>
    <t>Cross</t>
  </si>
  <si>
    <t>King Bible</t>
  </si>
  <si>
    <t>Fire Wand</t>
  </si>
  <si>
    <t>Garlic</t>
  </si>
  <si>
    <t>Santa Water</t>
  </si>
  <si>
    <t>Runetracer</t>
  </si>
  <si>
    <t>Lightning Ring</t>
  </si>
  <si>
    <t>Pentagram</t>
  </si>
  <si>
    <t>N/A</t>
  </si>
  <si>
    <t>Peachone</t>
  </si>
  <si>
    <t>Ebony Wings</t>
  </si>
  <si>
    <t>Phiera Der Tuphello</t>
  </si>
  <si>
    <t>Eight The Sparrow</t>
  </si>
  <si>
    <t>Gatti Amari</t>
  </si>
  <si>
    <t>Song of Mana</t>
  </si>
  <si>
    <t>Shadow Pinion</t>
  </si>
  <si>
    <t>Clock Lancet</t>
  </si>
  <si>
    <t>Laurel</t>
  </si>
  <si>
    <t>Vento Sacro</t>
  </si>
  <si>
    <t>Bone</t>
  </si>
  <si>
    <t>Cherry Bomb</t>
  </si>
  <si>
    <t>Carréllo</t>
  </si>
  <si>
    <t>Celestial Dusting</t>
  </si>
  <si>
    <t>La Robba</t>
  </si>
  <si>
    <t>Greatest Jubilee</t>
  </si>
  <si>
    <t>Bracelet</t>
  </si>
  <si>
    <t>Candybox</t>
  </si>
  <si>
    <t>Pako Battiliar</t>
  </si>
  <si>
    <t>Ammo Appalate</t>
  </si>
  <si>
    <t>Unlock Requirements</t>
  </si>
  <si>
    <t>Evolution</t>
  </si>
  <si>
    <t>Unlocked by default.</t>
  </si>
  <si>
    <t>Death Spiral</t>
  </si>
  <si>
    <t>Find a Rosary.</t>
  </si>
  <si>
    <t>Heaven Sword</t>
  </si>
  <si>
    <t>Unholy Vespers</t>
  </si>
  <si>
    <t>Destroy 20 light sources.</t>
  </si>
  <si>
    <t>Hellfire</t>
  </si>
  <si>
    <t>Consume 5 Floor Chickens.</t>
  </si>
  <si>
    <t>Soul Eater</t>
  </si>
  <si>
    <t>La Borra</t>
  </si>
  <si>
    <t>Survive 5 minutes with Pasqualina.</t>
  </si>
  <si>
    <t>NO FUTURE</t>
  </si>
  <si>
    <t>Defeat a total of 5,000 enemies.</t>
  </si>
  <si>
    <t>Thunder Loop</t>
  </si>
  <si>
    <t>Survive 20 minutes with any character.</t>
  </si>
  <si>
    <t>Gorgeous Moon</t>
  </si>
  <si>
    <t>Survive 10 minutes with any character.</t>
  </si>
  <si>
    <t>Vandalier</t>
  </si>
  <si>
    <t>Get Peachone to Level 7.</t>
  </si>
  <si>
    <t>Survive 10 minutes with Pugnala.</t>
  </si>
  <si>
    <t>Phieraggi</t>
  </si>
  <si>
    <t>Survive 15 minutes with Pugnala.</t>
  </si>
  <si>
    <t>Survive 15 minutes with Giovanna.</t>
  </si>
  <si>
    <t>Vicious Hunger</t>
  </si>
  <si>
    <t>Survive 15 minutes with Poppea.</t>
  </si>
  <si>
    <t>Mannajja</t>
  </si>
  <si>
    <t>Survive 15 minutes with Concetta.</t>
  </si>
  <si>
    <t>Valkyrie Turner</t>
  </si>
  <si>
    <t>Find an Orologion.</t>
  </si>
  <si>
    <t>Infinite Corridor</t>
  </si>
  <si>
    <t>Crimson Shroud</t>
  </si>
  <si>
    <t>Survive 15 minutes with Zi'Assunta.</t>
  </si>
  <si>
    <t>Fuwalafuwaloo</t>
  </si>
  <si>
    <t>Start with Mortaccio.</t>
  </si>
  <si>
    <t>Anima of Mortaccio</t>
  </si>
  <si>
    <t>Start with Cavallo.</t>
  </si>
  <si>
    <t>Yatta Daikarin</t>
  </si>
  <si>
    <t>Start with Ramba.</t>
  </si>
  <si>
    <t>Carozza!</t>
  </si>
  <si>
    <t>Start with O'Sole.</t>
  </si>
  <si>
    <t>Profusione D'Amore</t>
  </si>
  <si>
    <t>Start with Ambrojoe.</t>
  </si>
  <si>
    <t>None</t>
  </si>
  <si>
    <t>Complete Eudaimonia Machine after having started and exited a run in Endless mode and a run in Inverse mode.</t>
  </si>
  <si>
    <t>Survive 30 minutes with either Gallo or Divano.</t>
  </si>
  <si>
    <t>Bi-Bracelet</t>
  </si>
  <si>
    <t>Discover every standard evolution and union.</t>
  </si>
  <si>
    <t>Defeat a total of 161,616 bats.</t>
  </si>
  <si>
    <t>Mazo Familiar</t>
  </si>
  <si>
    <t>Defeat a total of 251,096 shooting enemies.</t>
  </si>
  <si>
    <t>Gunastrophe</t>
  </si>
  <si>
    <t>Victory Sword</t>
  </si>
  <si>
    <t>Defeat 100,000 enemies in a single run with Sigma.</t>
  </si>
  <si>
    <t>Flames of Misspell</t>
  </si>
  <si>
    <t>Unlock Avatar.</t>
  </si>
  <si>
    <t>Ashes of Muspell</t>
  </si>
  <si>
    <t>Chaos Rune</t>
  </si>
  <si>
    <t>Cast the spell "guinigigi".</t>
  </si>
  <si>
    <t>Wicked Ruler</t>
  </si>
  <si>
    <t>Glass Fandango</t>
  </si>
  <si>
    <t>Find Glass Fandango in Whiteout and get it to Level 7.</t>
  </si>
  <si>
    <t>Celestial Voulge</t>
  </si>
  <si>
    <t>Santa Javelin</t>
  </si>
  <si>
    <t>Get Santa Javelin to Level 7.</t>
  </si>
  <si>
    <t>Seraphic Cry</t>
  </si>
  <si>
    <t>Gaze of Gaea</t>
  </si>
  <si>
    <t>Defeat 0 enemies in The Coop.</t>
  </si>
  <si>
    <t>Embrace of Gaea</t>
  </si>
  <si>
    <t>Magi-Stone</t>
  </si>
  <si>
    <t>Get Magi-Stone to Level 7.</t>
  </si>
  <si>
    <t>Kyra-Stones</t>
  </si>
  <si>
    <t>Phas3r</t>
  </si>
  <si>
    <t>Get Phas3r to Level 7.</t>
  </si>
  <si>
    <t>Photonstorm</t>
  </si>
  <si>
    <t>Arma Dio</t>
  </si>
  <si>
    <t>Find an Arma Dio.</t>
  </si>
  <si>
    <t>Silver Wind</t>
  </si>
  <si>
    <t>Survive 15 minutes with Miang .</t>
  </si>
  <si>
    <t>Festive Winds</t>
  </si>
  <si>
    <t>Four Seasons</t>
  </si>
  <si>
    <t>Survive 15 minutes with Menya .</t>
  </si>
  <si>
    <t>Godai Shuffle</t>
  </si>
  <si>
    <t>Summon Night</t>
  </si>
  <si>
    <t>Survive 15 minutes with Syuuto .</t>
  </si>
  <si>
    <t>Echo Night</t>
  </si>
  <si>
    <t>Mirage Robe</t>
  </si>
  <si>
    <t>Survive 15 minutes with Babi-Onna .</t>
  </si>
  <si>
    <t>J'Odore</t>
  </si>
  <si>
    <t>Night Sword</t>
  </si>
  <si>
    <t>Find the Night Sword in Mt.Moonspell.</t>
  </si>
  <si>
    <t>Muramasa</t>
  </si>
  <si>
    <t>Mille Bolle Blu</t>
  </si>
  <si>
    <t>Start with Gav'Et-Oni .</t>
  </si>
  <si>
    <t>Boo Roo Boolle</t>
  </si>
  <si>
    <t>108 Bocce</t>
  </si>
  <si>
    <t>Survive 15 minutes with McCoy-Oni .</t>
  </si>
  <si>
    <t>SpellString</t>
  </si>
  <si>
    <t>Survive 15 minutes with Eleanor .</t>
  </si>
  <si>
    <t>SpellStrom</t>
  </si>
  <si>
    <t>SpellStream</t>
  </si>
  <si>
    <t>Get SpellStream to Level 6.</t>
  </si>
  <si>
    <t>SpellStrike</t>
  </si>
  <si>
    <t>Get SpellStrike to Level 6.</t>
  </si>
  <si>
    <t>Eskizzibur</t>
  </si>
  <si>
    <t>Survive 15 minutes with Maruto .</t>
  </si>
  <si>
    <t>Legionnaire</t>
  </si>
  <si>
    <t>Flash Arrow</t>
  </si>
  <si>
    <t>Survive 15 minutes with Keitha .</t>
  </si>
  <si>
    <t>Millionaire</t>
  </si>
  <si>
    <t>Prismatic Missile</t>
  </si>
  <si>
    <t>Survive 15 minutes with Luminaire .</t>
  </si>
  <si>
    <t>Luminaire</t>
  </si>
  <si>
    <t>Shadow Servant</t>
  </si>
  <si>
    <t>Survive 15 minutes with Genevieve .</t>
  </si>
  <si>
    <t>Ophion</t>
  </si>
  <si>
    <t>Party Popper</t>
  </si>
  <si>
    <t>Start with Rottin'Ghoul .</t>
  </si>
  <si>
    <t>Report!</t>
  </si>
  <si>
    <t>Survive 15 minutes with Crewmate .</t>
  </si>
  <si>
    <t>Emergency Meeting</t>
  </si>
  <si>
    <t>Lucky Swipe</t>
  </si>
  <si>
    <t>Survive 15 minutes with Engineer .</t>
  </si>
  <si>
    <t>Crossed Wires</t>
  </si>
  <si>
    <t>Lifesign Scan</t>
  </si>
  <si>
    <t>Get Lifesign Scan to Level 7.</t>
  </si>
  <si>
    <t>Paranormal Scan</t>
  </si>
  <si>
    <t>Just Vent</t>
  </si>
  <si>
    <t>Survive 15 minutes with Shapeshifter .</t>
  </si>
  <si>
    <t>Unjust Ejection</t>
  </si>
  <si>
    <t>Clear Debris</t>
  </si>
  <si>
    <t>Reach Level 50 with Guardian .</t>
  </si>
  <si>
    <t>Clear Asteroids</t>
  </si>
  <si>
    <t>Sharp Tongue</t>
  </si>
  <si>
    <t>Survive 15 minutes with Impostor .</t>
  </si>
  <si>
    <t>Impostongue</t>
  </si>
  <si>
    <t>Science Rocks</t>
  </si>
  <si>
    <t>Reach Level 50 with Scientist .</t>
  </si>
  <si>
    <t>Rocket Science</t>
  </si>
  <si>
    <t>Hats</t>
  </si>
  <si>
    <t>Start with Horse .</t>
  </si>
  <si>
    <t>Long Gun</t>
  </si>
  <si>
    <t>Survive 15 minutes with Bill .</t>
  </si>
  <si>
    <t>Prototype A</t>
  </si>
  <si>
    <t>Short Gun</t>
  </si>
  <si>
    <t>Survive 15 minutes with Lance .</t>
  </si>
  <si>
    <t>Prototype B</t>
  </si>
  <si>
    <t>Spread Shot</t>
  </si>
  <si>
    <t>Survive 15 minutes with Ariana .</t>
  </si>
  <si>
    <t>Prototype C</t>
  </si>
  <si>
    <t>C-U-Laser</t>
  </si>
  <si>
    <t>Survive 15 minutes with Lucia .</t>
  </si>
  <si>
    <t>Pronto Beam</t>
  </si>
  <si>
    <t>Firearm</t>
  </si>
  <si>
    <t>Survive 15 minutes with Brad .</t>
  </si>
  <si>
    <t>Fire-L3GS</t>
  </si>
  <si>
    <t>Sonic Bloom</t>
  </si>
  <si>
    <t>Survive 15 minutes with Browny .</t>
  </si>
  <si>
    <t>Wave Beam</t>
  </si>
  <si>
    <t>Homing Miss</t>
  </si>
  <si>
    <t>Survive 15 minutes with Stanley .</t>
  </si>
  <si>
    <t>Multistage Missiles</t>
  </si>
  <si>
    <t>Diver Mines</t>
  </si>
  <si>
    <t>Survive 15 minutes with Newt .</t>
  </si>
  <si>
    <t>Atmo-Torpedo</t>
  </si>
  <si>
    <t>Blade Crossbow</t>
  </si>
  <si>
    <t>Survive 15 minutes with Sheena .</t>
  </si>
  <si>
    <t>BFC2000-AD</t>
  </si>
  <si>
    <t>Prism Lass</t>
  </si>
  <si>
    <t>Survive 15 minutes with Probotector .</t>
  </si>
  <si>
    <t>Time Warp</t>
  </si>
  <si>
    <t>Metal Claw</t>
  </si>
  <si>
    <t>Survive 15 minutes with Bahamut .</t>
  </si>
  <si>
    <t>Big Fuzzy Fist</t>
  </si>
  <si>
    <t>Alchemy Whip</t>
  </si>
  <si>
    <t>Survive 6 minutes with Leon .</t>
  </si>
  <si>
    <t>Vampire Killer</t>
  </si>
  <si>
    <t>Wind Whip</t>
  </si>
  <si>
    <t>Survive 12 minutes with Simon .</t>
  </si>
  <si>
    <t>Spirit Tornado Tip</t>
  </si>
  <si>
    <t>Platinum Whip</t>
  </si>
  <si>
    <t>Survive 18 minutes with Richter .</t>
  </si>
  <si>
    <t>Cross Crasher Tip</t>
  </si>
  <si>
    <t>Dragon Water Whip</t>
  </si>
  <si>
    <t>Survive 10 minutes with Trevor .</t>
  </si>
  <si>
    <t>Hydrostormer Tip</t>
  </si>
  <si>
    <t>Sonic Whip</t>
  </si>
  <si>
    <t>Survive 8 minutes with Sonia .</t>
  </si>
  <si>
    <t>Crissaegrim Tip</t>
  </si>
  <si>
    <t>Jet Black Whip</t>
  </si>
  <si>
    <t>Survive 14 minutes with Christopher .</t>
  </si>
  <si>
    <t>Mormegil Tip</t>
  </si>
  <si>
    <t>Vibhuti Whip</t>
  </si>
  <si>
    <t>Survive 16 minutes with Juste .</t>
  </si>
  <si>
    <t>Daybreaker Tip</t>
  </si>
  <si>
    <t>Vanitas Whip</t>
  </si>
  <si>
    <t>Survive 20 minutes with Julius .</t>
  </si>
  <si>
    <t>Aurablaster Tip</t>
  </si>
  <si>
    <t>Shuriken</t>
  </si>
  <si>
    <t>Get Shuriken to Level 2.</t>
  </si>
  <si>
    <t>Yagyu Shuriken</t>
  </si>
  <si>
    <t>Curved Knife</t>
  </si>
  <si>
    <t>Get Curved Knife to Level 1.</t>
  </si>
  <si>
    <t>Bwaka Knife</t>
  </si>
  <si>
    <t>Javelin</t>
  </si>
  <si>
    <t>Get Javelin to Level 3.</t>
  </si>
  <si>
    <t>Long Inus</t>
  </si>
  <si>
    <t>Discus</t>
  </si>
  <si>
    <t>Get Discus to Level 5.</t>
  </si>
  <si>
    <t>Stellar Blade</t>
  </si>
  <si>
    <t>Iron Ball</t>
  </si>
  <si>
    <t>Get Iron Ball to Level 4.</t>
  </si>
  <si>
    <t>Wrecking Ball</t>
  </si>
  <si>
    <t>Silver Revolver</t>
  </si>
  <si>
    <t>Get Silver Revolver to Level 6.</t>
  </si>
  <si>
    <t>Jewel Gun</t>
  </si>
  <si>
    <t>Hand Grenade</t>
  </si>
  <si>
    <t>Get Hand Grenade to Level 7.</t>
  </si>
  <si>
    <t>The RPG</t>
  </si>
  <si>
    <t>Wine Glass</t>
  </si>
  <si>
    <t>Get Wine Glass to Level 8.</t>
  </si>
  <si>
    <t>Meal Ticket</t>
  </si>
  <si>
    <t>Raging Fire</t>
  </si>
  <si>
    <t>Evolve the Raging Fire .</t>
  </si>
  <si>
    <t>Salamender</t>
  </si>
  <si>
    <t>Ice Fang</t>
  </si>
  <si>
    <t>Evolve the Ice Fang .</t>
  </si>
  <si>
    <t>Cocytus</t>
  </si>
  <si>
    <t>Gale Force</t>
  </si>
  <si>
    <t>Evolve the Gale Force .</t>
  </si>
  <si>
    <t>Pneuma Tempestas</t>
  </si>
  <si>
    <t>Rock Riot</t>
  </si>
  <si>
    <t>Evolve the Rock Riot .</t>
  </si>
  <si>
    <t>Gemma Torpor</t>
  </si>
  <si>
    <t>Fulgur</t>
  </si>
  <si>
    <t>Evolve the Fulgur .</t>
  </si>
  <si>
    <t>Tenebris Tonitrus</t>
  </si>
  <si>
    <t>Keremet Bubbles</t>
  </si>
  <si>
    <t>Evolve the Keremet Bubbles .</t>
  </si>
  <si>
    <t>Keremet Morbus</t>
  </si>
  <si>
    <t>Hex</t>
  </si>
  <si>
    <t>Evolve the Hex .</t>
  </si>
  <si>
    <t>Nightmare</t>
  </si>
  <si>
    <t>Refectio</t>
  </si>
  <si>
    <t>Evolve the Refectio .</t>
  </si>
  <si>
    <t>Sanctuary</t>
  </si>
  <si>
    <t>Mace</t>
  </si>
  <si>
    <t>Inflict a total of 50,000 damage with the Mace .</t>
  </si>
  <si>
    <t>Stamazza</t>
  </si>
  <si>
    <t>Star Flail</t>
  </si>
  <si>
    <t>Inflict a total of 60,000 damage with the Star Flail .</t>
  </si>
  <si>
    <t>Moon Rod</t>
  </si>
  <si>
    <t>Alucard Spear</t>
  </si>
  <si>
    <t>Inflict a total of 30,000 damage with the Alucard Spear .</t>
  </si>
  <si>
    <t>Thunderbolt Spear</t>
  </si>
  <si>
    <t>Trident</t>
  </si>
  <si>
    <t>Inflict a total of 40,000 damage with the Trident .</t>
  </si>
  <si>
    <t>Gungnir-Souris</t>
  </si>
  <si>
    <t>Iron Shield</t>
  </si>
  <si>
    <t>Inflict a total of 70,000 damage with the Iron Shield .</t>
  </si>
  <si>
    <t>Dark Iron Shield</t>
  </si>
  <si>
    <t>Guardian's Targe</t>
  </si>
  <si>
    <t>Inflict a total of 80,000 damage with the Guardian's Targe .</t>
  </si>
  <si>
    <t>Sacred Beasts Tower Shield</t>
  </si>
  <si>
    <t>Tyrfing</t>
  </si>
  <si>
    <t>Inflict a total of 20,000 damage with the Tyrfing .</t>
  </si>
  <si>
    <t>Rune Sword</t>
  </si>
  <si>
    <t>Alucart Sworb</t>
  </si>
  <si>
    <t>Inflict a total of 10,000 damage with the Alucart Sworb .</t>
  </si>
  <si>
    <t>Alucard Swords</t>
  </si>
  <si>
    <t>Confodere</t>
  </si>
  <si>
    <t>Defeat 1,000 enemies with Shanoa .</t>
  </si>
  <si>
    <t>Vol Confodere</t>
  </si>
  <si>
    <t>Globus</t>
  </si>
  <si>
    <t>Defeat 5,000 enemies with Saint Germain .</t>
  </si>
  <si>
    <t>Nitesco</t>
  </si>
  <si>
    <t>Optical Shot</t>
  </si>
  <si>
    <t>Defeat 2,000 enemies with Albus .</t>
  </si>
  <si>
    <t>Acerbatus</t>
  </si>
  <si>
    <t>Dextro Custos</t>
  </si>
  <si>
    <t>Get Dextro Custos to Level 6.</t>
  </si>
  <si>
    <t>Trinum Custodem</t>
  </si>
  <si>
    <t>Sinestro Custos</t>
  </si>
  <si>
    <t>Get Sinestro Custos to Level 6.</t>
  </si>
  <si>
    <t>Centralis Custos</t>
  </si>
  <si>
    <t>Defeat 7,000 enemies with Cornell .</t>
  </si>
  <si>
    <t>Dominus Anger</t>
  </si>
  <si>
    <t>Get Dominus Anger to Level 6.</t>
  </si>
  <si>
    <t>Power of Sire</t>
  </si>
  <si>
    <t>Dominus Hatred</t>
  </si>
  <si>
    <t>Get Dominus Hatred to Level 6.</t>
  </si>
  <si>
    <t>Dominus Agony</t>
  </si>
  <si>
    <t>Defeat 8,000 enemies with Barlowe .</t>
  </si>
  <si>
    <t>Sonic Dash</t>
  </si>
  <si>
    <t>Defeat 6,000 enemies with Nathan .</t>
  </si>
  <si>
    <t>Rapidus Fio</t>
  </si>
  <si>
    <t>Luminatio</t>
  </si>
  <si>
    <t>Defeat 3,000 enemies with Lisa .</t>
  </si>
  <si>
    <t>Vol Luminatio</t>
  </si>
  <si>
    <t>Umbra</t>
  </si>
  <si>
    <t>Defeat 4,000 enemies with Shaft .</t>
  </si>
  <si>
    <t>Vol Umbra</t>
  </si>
  <si>
    <t>Morning Star</t>
  </si>
  <si>
    <t>Evolve all 8 magic whip lines.</t>
  </si>
  <si>
    <t>Coat of Arms</t>
  </si>
  <si>
    <t>Evolve all 16 vampire-killing tool lines.</t>
  </si>
  <si>
    <t>Spectral Sword</t>
  </si>
  <si>
    <t>Evolve all 8 magic weapon lines.</t>
  </si>
  <si>
    <t>Belnades' Spellbook</t>
  </si>
  <si>
    <t>Evolve all 8 spell lines.</t>
  </si>
  <si>
    <t>Ebony Diabologue</t>
  </si>
  <si>
    <t>Evolve all 8 glyph lines.</t>
  </si>
  <si>
    <t>Valmanway</t>
  </si>
  <si>
    <t>Purchase the item from the Master Librarian for 2,800.</t>
  </si>
  <si>
    <t>Million Cut</t>
  </si>
  <si>
    <t>Icebrand</t>
  </si>
  <si>
    <t>Ninth Circle</t>
  </si>
  <si>
    <t>Arrow of Goth</t>
  </si>
  <si>
    <t>Dies Irae</t>
  </si>
  <si>
    <t>Aura Blast</t>
  </si>
  <si>
    <t>Kardía Phlegeton</t>
  </si>
  <si>
    <t>Kaiser Knuckle</t>
  </si>
  <si>
    <t>Lapiste Tepisto</t>
  </si>
  <si>
    <t>Pocket Knife</t>
  </si>
  <si>
    <t>Claimh Solais</t>
  </si>
  <si>
    <t>Svarog Statue</t>
  </si>
  <si>
    <t>Darkness Illusion</t>
  </si>
  <si>
    <t>Troll Bomb</t>
  </si>
  <si>
    <t>Carnage Heart</t>
  </si>
  <si>
    <t>Hydro Storm</t>
  </si>
  <si>
    <t>Hydro Pump Climax</t>
  </si>
  <si>
    <t>Grand Cross</t>
  </si>
  <si>
    <t>Arch Angle</t>
  </si>
  <si>
    <t>Summon Spirit</t>
  </si>
  <si>
    <t>Spirit of Light</t>
  </si>
  <si>
    <t>Soul Steal</t>
  </si>
  <si>
    <t>Power of Lire</t>
  </si>
  <si>
    <t>Dark Rift</t>
  </si>
  <si>
    <t>Legacy of Death: Soul River</t>
  </si>
  <si>
    <t>Sword Brothers</t>
  </si>
  <si>
    <t>Vjaya Sisters</t>
  </si>
  <si>
    <t>Summon Spirit Tornado</t>
  </si>
  <si>
    <t>Venus Crescent</t>
  </si>
  <si>
    <t>Anura</t>
  </si>
  <si>
    <t>Dark Frogamorphosis</t>
  </si>
  <si>
    <t>Endo Gears</t>
  </si>
  <si>
    <t>Be the Clock Tower .</t>
  </si>
  <si>
    <t>Clock Tower</t>
  </si>
  <si>
    <t>Peri Pendulum</t>
  </si>
  <si>
    <t>Myo Lift</t>
  </si>
  <si>
    <t>Epi Head</t>
  </si>
  <si>
    <t>Familiar Forge</t>
  </si>
  <si>
    <t>Find a Familiar Forge in Ode To Castlevania.</t>
  </si>
  <si>
    <t>Fleuret</t>
  </si>
  <si>
    <t>Get the Fleuret to Level 6.</t>
  </si>
  <si>
    <t>Dress Sword</t>
  </si>
  <si>
    <t>Town Sword</t>
  </si>
  <si>
    <t>Get the Town Sword to Level 6.</t>
  </si>
  <si>
    <t>Lordstar</t>
  </si>
  <si>
    <t>Splashers</t>
  </si>
  <si>
    <t>Get Splashers to Level 6.</t>
  </si>
  <si>
    <t>Pursuant Blades</t>
  </si>
  <si>
    <t>Flamberge</t>
  </si>
  <si>
    <t>Find the Flamberge in Emerald Diorama and fully evolve it.</t>
  </si>
  <si>
    <t>Zweihander</t>
  </si>
  <si>
    <t>Punch</t>
  </si>
  <si>
    <t>Get Punch to Level 6.</t>
  </si>
  <si>
    <t>Pressure Point</t>
  </si>
  <si>
    <t>Kick</t>
  </si>
  <si>
    <t>Get Kick to Level 6.</t>
  </si>
  <si>
    <t>Triangle Kick</t>
  </si>
  <si>
    <t>Saber Machine Gun</t>
  </si>
  <si>
    <t>Get the Saber Machine Gun to Level 6.</t>
  </si>
  <si>
    <t>Hecaton Machine Gun</t>
  </si>
  <si>
    <t>Super Missile</t>
  </si>
  <si>
    <t>Get the Super Missile to Level 6.</t>
  </si>
  <si>
    <t>Hydra Cannon</t>
  </si>
  <si>
    <t>Eagle Gun</t>
  </si>
  <si>
    <t>Get the Eagle Gun to Level 6.</t>
  </si>
  <si>
    <t>Pendragon</t>
  </si>
  <si>
    <t>Khukuri</t>
  </si>
  <si>
    <t>Find the Khukuri in Emerald Diorama and fully evolve it.</t>
  </si>
  <si>
    <t>Jetstream</t>
  </si>
  <si>
    <t>Twin Dragon</t>
  </si>
  <si>
    <t>Get the Twin Dragon to Level 6.</t>
  </si>
  <si>
    <t>Gekkabijin</t>
  </si>
  <si>
    <t>Bullova</t>
  </si>
  <si>
    <t>Find the Bullova in Emerald Diorama and fully evolve it.</t>
  </si>
  <si>
    <t>Falconwind</t>
  </si>
  <si>
    <t>Sanguine Star</t>
  </si>
  <si>
    <t>Get the Sanguine Star to level 6.</t>
  </si>
  <si>
    <t>Blood Chalice</t>
  </si>
  <si>
    <t>Glaive</t>
  </si>
  <si>
    <t>Find the Glaive in Emerald Diorama and fully evolve it.</t>
  </si>
  <si>
    <t>Feather Spear</t>
  </si>
  <si>
    <t>Spirit Rings</t>
  </si>
  <si>
    <t>Get the Spirit Rings to Level 6.</t>
  </si>
  <si>
    <t>Rings of Calamity</t>
  </si>
  <si>
    <t>Emerald Rapture</t>
  </si>
  <si>
    <t>Find the Emerald Rapture in Emerald Diorama and fully evolve it.</t>
  </si>
  <si>
    <t>Emerald Wave</t>
  </si>
  <si>
    <t>Intuition</t>
  </si>
  <si>
    <t>Fully evolve the Sanguine Star .</t>
  </si>
  <si>
    <t>Infernolatro</t>
  </si>
  <si>
    <t>Get the Infernolatro to Level 6.</t>
  </si>
  <si>
    <t>NaneInferno</t>
  </si>
  <si>
    <t>Gros Michel</t>
  </si>
  <si>
    <t>Get the Gros Michel to Level 6.</t>
  </si>
  <si>
    <t>Cavendish</t>
  </si>
  <si>
    <t>Fibonacci Spritz</t>
  </si>
  <si>
    <t>Get the Fibonacci Spritz to Level 6.</t>
  </si>
  <si>
    <t>Royal Flush</t>
  </si>
  <si>
    <t>Celestial Booster</t>
  </si>
  <si>
    <t>Get the Celestial Booster to Level 6.</t>
  </si>
  <si>
    <t>Negative Space</t>
  </si>
  <si>
    <t>숫자가 낮을수록 희귀함</t>
    <phoneticPr fontId="1" type="noConversion"/>
  </si>
  <si>
    <t>해금 조건</t>
    <phoneticPr fontId="1" type="noConversion"/>
  </si>
  <si>
    <t>재화 해금시 가격</t>
    <phoneticPr fontId="1" type="noConversion"/>
  </si>
  <si>
    <t>진화 무기</t>
    <phoneticPr fontId="1" type="noConversion"/>
  </si>
  <si>
    <t>int</t>
    <phoneticPr fontId="1" type="noConversion"/>
  </si>
  <si>
    <t>UnlockCost</t>
    <phoneticPr fontId="1" type="noConversion"/>
  </si>
  <si>
    <t>Holy Wand</t>
    <phoneticPr fontId="1" type="noConversion"/>
  </si>
  <si>
    <t>Thousand Edge</t>
    <phoneticPr fontId="1" type="noConversion"/>
  </si>
  <si>
    <t>BloodyTear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</si>
</sst>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Arial"/>
      <family val="2"/>
    </font>
    <font>
      <b/>
      <sz val="10"/>
      <color theme="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rgb="FF4D93D9"/>
      </patternFill>
    </fill>
    <fill>
      <patternFill patternType="solid">
        <fgColor theme="0" tint="-0.249977111117893"/>
        <bgColor rgb="FFFFC000"/>
      </patternFill>
    </fill>
    <fill>
      <patternFill patternType="solid">
        <fgColor theme="0" tint="-0.249977111117893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4" fillId="2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9" fontId="2" fillId="2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/>
    <xf numFmtId="0" fontId="2" fillId="4" borderId="1" xfId="0" applyFont="1" applyFill="1" applyBorder="1" applyAlignment="1"/>
    <xf numFmtId="0" fontId="4" fillId="4" borderId="1" xfId="0" applyFont="1" applyFill="1" applyBorder="1" applyAlignment="1"/>
    <xf numFmtId="0" fontId="5" fillId="2" borderId="0" xfId="0" applyFont="1" applyFill="1">
      <alignment vertical="center"/>
    </xf>
    <xf numFmtId="0" fontId="6" fillId="3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J1010"/>
  <sheetViews>
    <sheetView tabSelected="1" zoomScale="130" zoomScaleNormal="130" zoomScaleSheetLayoutView="75" workbookViewId="0">
      <selection activeCell="L13" sqref="A1:XFD1048576"/>
    </sheetView>
  </sheetViews>
  <sheetFormatPr defaultColWidth="12.5546875" defaultRowHeight="15" customHeight="1" x14ac:dyDescent="0.35"/>
  <cols>
    <col min="1" max="1" width="12.77734375" style="2" customWidth="1"/>
    <col min="2" max="2" width="19.5546875" style="3" customWidth="1"/>
    <col min="3" max="3" width="13.6640625" style="11" customWidth="1"/>
    <col min="4" max="4" width="16.88671875" style="11" customWidth="1"/>
    <col min="5" max="5" width="15.77734375" style="11" customWidth="1"/>
    <col min="6" max="6" width="12.5546875" style="3"/>
    <col min="7" max="7" width="20.109375" style="3" customWidth="1"/>
    <col min="8" max="8" width="15.44140625" style="3" customWidth="1"/>
    <col min="9" max="9" width="12.5546875" style="3"/>
    <col min="10" max="10" width="20.109375" style="3" customWidth="1"/>
    <col min="11" max="16384" width="12.5546875" style="3"/>
  </cols>
  <sheetData>
    <row r="1" spans="1:10" ht="15.75" customHeight="1" x14ac:dyDescent="0.35">
      <c r="A1" s="1"/>
      <c r="B1" s="1"/>
      <c r="C1" s="5"/>
      <c r="D1" s="5"/>
      <c r="E1" s="5" t="s">
        <v>455</v>
      </c>
      <c r="F1" s="2" t="s">
        <v>457</v>
      </c>
      <c r="G1" s="2" t="s">
        <v>458</v>
      </c>
      <c r="H1" s="3" t="s">
        <v>456</v>
      </c>
      <c r="J1" s="2" t="s">
        <v>458</v>
      </c>
    </row>
    <row r="2" spans="1:10" ht="15.6" x14ac:dyDescent="0.35">
      <c r="A2" s="1" t="s">
        <v>0</v>
      </c>
      <c r="B2" s="1" t="s">
        <v>0</v>
      </c>
      <c r="C2" s="5" t="s">
        <v>459</v>
      </c>
      <c r="D2" s="5" t="s">
        <v>459</v>
      </c>
      <c r="E2" s="5" t="s">
        <v>459</v>
      </c>
      <c r="F2" s="2" t="s">
        <v>459</v>
      </c>
      <c r="G2" s="2"/>
      <c r="H2" s="2" t="s">
        <v>0</v>
      </c>
      <c r="J2" s="2"/>
    </row>
    <row r="3" spans="1:10" ht="15.6" x14ac:dyDescent="0.35">
      <c r="A3" s="1" t="s">
        <v>1</v>
      </c>
      <c r="B3" s="1" t="s">
        <v>2</v>
      </c>
      <c r="C3" s="5" t="s">
        <v>3</v>
      </c>
      <c r="D3" s="5" t="s">
        <v>4</v>
      </c>
      <c r="E3" s="5" t="s">
        <v>5</v>
      </c>
      <c r="F3" s="2" t="s">
        <v>460</v>
      </c>
      <c r="G3" s="2" t="s">
        <v>40</v>
      </c>
      <c r="H3" s="2" t="s">
        <v>39</v>
      </c>
      <c r="J3" s="2" t="s">
        <v>40</v>
      </c>
    </row>
    <row r="4" spans="1:10" ht="15.6" x14ac:dyDescent="0.35">
      <c r="A4" s="17">
        <v>265001</v>
      </c>
      <c r="B4" s="1" t="s">
        <v>6</v>
      </c>
      <c r="C4" s="5">
        <v>10</v>
      </c>
      <c r="D4" s="5">
        <v>8</v>
      </c>
      <c r="E4" s="5">
        <v>100</v>
      </c>
      <c r="F4" s="2">
        <v>10</v>
      </c>
      <c r="G4" s="1" t="s">
        <v>463</v>
      </c>
      <c r="H4" s="1" t="s">
        <v>41</v>
      </c>
      <c r="J4" s="1" t="s">
        <v>463</v>
      </c>
    </row>
    <row r="5" spans="1:10" ht="15.6" x14ac:dyDescent="0.35">
      <c r="A5" s="17">
        <v>265002</v>
      </c>
      <c r="B5" s="1" t="s">
        <v>7</v>
      </c>
      <c r="C5" s="5">
        <v>10</v>
      </c>
      <c r="D5" s="5">
        <v>8</v>
      </c>
      <c r="E5" s="5">
        <v>100</v>
      </c>
      <c r="F5" s="2">
        <v>10</v>
      </c>
      <c r="G5" s="1" t="str">
        <f>SUBSTITUTE(J5, " ", "")</f>
        <v>HolyWand</v>
      </c>
      <c r="H5" s="1" t="s">
        <v>41</v>
      </c>
      <c r="J5" s="1" t="s">
        <v>461</v>
      </c>
    </row>
    <row r="6" spans="1:10" ht="15.6" x14ac:dyDescent="0.35">
      <c r="A6" s="17"/>
      <c r="B6" s="16" t="s">
        <v>8</v>
      </c>
      <c r="C6" s="5">
        <v>6.5</v>
      </c>
      <c r="D6" s="5">
        <v>8</v>
      </c>
      <c r="E6" s="5">
        <v>100</v>
      </c>
      <c r="F6" s="2">
        <v>10</v>
      </c>
      <c r="G6" s="1" t="str">
        <f t="shared" ref="G6:G69" si="0">SUBSTITUTE(J6, " ", "")</f>
        <v>ThousandEdge</v>
      </c>
      <c r="H6" s="2" t="s">
        <v>41</v>
      </c>
      <c r="J6" s="2" t="s">
        <v>462</v>
      </c>
    </row>
    <row r="7" spans="1:10" ht="15.75" customHeight="1" x14ac:dyDescent="0.35">
      <c r="A7" s="17"/>
      <c r="B7" s="6" t="s">
        <v>9</v>
      </c>
      <c r="C7" s="5">
        <v>20</v>
      </c>
      <c r="D7" s="5">
        <v>8</v>
      </c>
      <c r="E7" s="5">
        <v>100</v>
      </c>
      <c r="F7" s="2">
        <v>10</v>
      </c>
      <c r="G7" s="1" t="str">
        <f t="shared" si="0"/>
        <v>DeathSpiral</v>
      </c>
      <c r="H7" s="7" t="s">
        <v>41</v>
      </c>
      <c r="J7" s="7" t="s">
        <v>42</v>
      </c>
    </row>
    <row r="8" spans="1:10" ht="15.75" customHeight="1" x14ac:dyDescent="0.35">
      <c r="A8" s="17"/>
      <c r="B8" s="8" t="s">
        <v>10</v>
      </c>
      <c r="C8" s="5">
        <v>5</v>
      </c>
      <c r="D8" s="5">
        <v>8</v>
      </c>
      <c r="E8" s="5">
        <v>80</v>
      </c>
      <c r="F8" s="2">
        <v>200</v>
      </c>
      <c r="G8" s="1" t="str">
        <f t="shared" si="0"/>
        <v>HeavenSword</v>
      </c>
      <c r="H8" s="7" t="s">
        <v>43</v>
      </c>
      <c r="J8" s="7" t="s">
        <v>44</v>
      </c>
    </row>
    <row r="9" spans="1:10" ht="15.75" customHeight="1" x14ac:dyDescent="0.35">
      <c r="A9" s="17"/>
      <c r="B9" s="8" t="s">
        <v>11</v>
      </c>
      <c r="C9" s="5">
        <v>10</v>
      </c>
      <c r="D9" s="5">
        <v>8</v>
      </c>
      <c r="E9" s="5">
        <v>80</v>
      </c>
      <c r="F9" s="2">
        <v>400</v>
      </c>
      <c r="G9" s="1" t="str">
        <f t="shared" si="0"/>
        <v>UnholyVespers</v>
      </c>
      <c r="H9" s="7" t="s">
        <v>41</v>
      </c>
      <c r="J9" s="7" t="s">
        <v>45</v>
      </c>
    </row>
    <row r="10" spans="1:10" ht="15.75" customHeight="1" x14ac:dyDescent="0.35">
      <c r="A10" s="17"/>
      <c r="B10" s="8" t="s">
        <v>12</v>
      </c>
      <c r="C10" s="5">
        <v>20</v>
      </c>
      <c r="D10" s="5">
        <v>8</v>
      </c>
      <c r="E10" s="5">
        <v>80</v>
      </c>
      <c r="F10" s="2">
        <v>100</v>
      </c>
      <c r="G10" s="1" t="str">
        <f t="shared" si="0"/>
        <v>Hellfire</v>
      </c>
      <c r="H10" s="5" t="s">
        <v>46</v>
      </c>
      <c r="J10" s="5" t="s">
        <v>47</v>
      </c>
    </row>
    <row r="11" spans="1:10" ht="15.75" customHeight="1" x14ac:dyDescent="0.35">
      <c r="A11" s="17"/>
      <c r="B11" s="9" t="s">
        <v>13</v>
      </c>
      <c r="C11" s="5">
        <v>5</v>
      </c>
      <c r="D11" s="5">
        <v>8</v>
      </c>
      <c r="E11" s="5">
        <v>70</v>
      </c>
      <c r="F11" s="2">
        <v>800</v>
      </c>
      <c r="G11" s="1" t="str">
        <f t="shared" si="0"/>
        <v>SoulEater</v>
      </c>
      <c r="H11" s="5" t="s">
        <v>48</v>
      </c>
      <c r="J11" s="5" t="s">
        <v>49</v>
      </c>
    </row>
    <row r="12" spans="1:10" ht="15.75" customHeight="1" x14ac:dyDescent="0.35">
      <c r="A12" s="17"/>
      <c r="B12" s="9" t="s">
        <v>14</v>
      </c>
      <c r="C12" s="5">
        <v>10</v>
      </c>
      <c r="D12" s="5">
        <v>8</v>
      </c>
      <c r="E12" s="5">
        <v>100</v>
      </c>
      <c r="F12" s="2">
        <v>800</v>
      </c>
      <c r="G12" s="1" t="str">
        <f t="shared" si="0"/>
        <v>LaBorra</v>
      </c>
      <c r="H12" s="5" t="s">
        <v>41</v>
      </c>
      <c r="J12" s="5" t="s">
        <v>50</v>
      </c>
    </row>
    <row r="13" spans="1:10" ht="15.75" customHeight="1" x14ac:dyDescent="0.4">
      <c r="A13" s="17"/>
      <c r="B13" s="4" t="s">
        <v>15</v>
      </c>
      <c r="C13" s="5">
        <v>10</v>
      </c>
      <c r="D13" s="5">
        <v>8</v>
      </c>
      <c r="E13" s="5">
        <v>80</v>
      </c>
      <c r="F13" s="2">
        <v>200</v>
      </c>
      <c r="G13" s="1" t="str">
        <f t="shared" si="0"/>
        <v>NOFUTURE</v>
      </c>
      <c r="H13" s="5" t="s">
        <v>51</v>
      </c>
      <c r="J13" s="5" t="s">
        <v>52</v>
      </c>
    </row>
    <row r="14" spans="1:10" ht="15.75" customHeight="1" x14ac:dyDescent="0.4">
      <c r="A14" s="17"/>
      <c r="B14" s="4" t="s">
        <v>16</v>
      </c>
      <c r="C14" s="5">
        <v>15</v>
      </c>
      <c r="D14" s="5">
        <v>8</v>
      </c>
      <c r="E14" s="5">
        <v>80</v>
      </c>
      <c r="F14" s="2">
        <v>400</v>
      </c>
      <c r="G14" s="1" t="str">
        <f t="shared" si="0"/>
        <v>ThunderLoop</v>
      </c>
      <c r="H14" s="5" t="s">
        <v>53</v>
      </c>
      <c r="J14" s="5" t="s">
        <v>54</v>
      </c>
    </row>
    <row r="15" spans="1:10" ht="15.75" customHeight="1" x14ac:dyDescent="0.35">
      <c r="A15" s="17"/>
      <c r="B15" s="1" t="s">
        <v>17</v>
      </c>
      <c r="C15" s="5" t="s">
        <v>18</v>
      </c>
      <c r="D15" s="5">
        <v>8</v>
      </c>
      <c r="E15" s="5">
        <v>60</v>
      </c>
      <c r="F15" s="2">
        <v>800</v>
      </c>
      <c r="G15" s="1" t="str">
        <f t="shared" si="0"/>
        <v>GorgeousMoon</v>
      </c>
      <c r="H15" s="5" t="s">
        <v>55</v>
      </c>
      <c r="J15" s="5" t="s">
        <v>56</v>
      </c>
    </row>
    <row r="16" spans="1:10" ht="15.75" customHeight="1" x14ac:dyDescent="0.35">
      <c r="A16" s="17"/>
      <c r="B16" s="1" t="s">
        <v>19</v>
      </c>
      <c r="C16" s="5">
        <v>10</v>
      </c>
      <c r="D16" s="5">
        <v>8</v>
      </c>
      <c r="E16" s="5">
        <v>50</v>
      </c>
      <c r="F16" s="2">
        <v>40</v>
      </c>
      <c r="G16" s="1" t="str">
        <f t="shared" si="0"/>
        <v>Vandalier</v>
      </c>
      <c r="H16" s="5" t="s">
        <v>57</v>
      </c>
      <c r="J16" s="5" t="s">
        <v>58</v>
      </c>
    </row>
    <row r="17" spans="1:10" ht="15.75" customHeight="1" x14ac:dyDescent="0.35">
      <c r="A17" s="17"/>
      <c r="B17" s="9" t="s">
        <v>20</v>
      </c>
      <c r="C17" s="5">
        <v>10</v>
      </c>
      <c r="D17" s="5">
        <v>8</v>
      </c>
      <c r="E17" s="5">
        <v>50</v>
      </c>
      <c r="F17" s="2">
        <v>40</v>
      </c>
      <c r="G17" s="1" t="str">
        <f t="shared" si="0"/>
        <v/>
      </c>
      <c r="H17" s="5" t="s">
        <v>59</v>
      </c>
      <c r="J17" s="5"/>
    </row>
    <row r="18" spans="1:10" ht="15.75" customHeight="1" x14ac:dyDescent="0.35">
      <c r="A18" s="17"/>
      <c r="B18" s="9" t="s">
        <v>21</v>
      </c>
      <c r="C18" s="5">
        <v>5</v>
      </c>
      <c r="D18" s="5">
        <v>8</v>
      </c>
      <c r="E18" s="5">
        <v>50</v>
      </c>
      <c r="F18" s="2">
        <v>400</v>
      </c>
      <c r="G18" s="1" t="str">
        <f t="shared" si="0"/>
        <v>Phieraggi</v>
      </c>
      <c r="H18" s="5" t="s">
        <v>60</v>
      </c>
      <c r="J18" s="5" t="s">
        <v>61</v>
      </c>
    </row>
    <row r="19" spans="1:10" ht="15.75" customHeight="1" x14ac:dyDescent="0.35">
      <c r="A19" s="17"/>
      <c r="B19" s="6" t="s">
        <v>22</v>
      </c>
      <c r="C19" s="5">
        <v>5</v>
      </c>
      <c r="D19" s="5">
        <v>8</v>
      </c>
      <c r="E19" s="5">
        <v>50</v>
      </c>
      <c r="F19" s="2">
        <v>400</v>
      </c>
      <c r="G19" s="1" t="str">
        <f t="shared" si="0"/>
        <v/>
      </c>
      <c r="H19" s="5" t="s">
        <v>62</v>
      </c>
      <c r="J19" s="5"/>
    </row>
    <row r="20" spans="1:10" ht="15.75" customHeight="1" x14ac:dyDescent="0.35">
      <c r="A20" s="17"/>
      <c r="B20" s="1" t="s">
        <v>23</v>
      </c>
      <c r="C20" s="5">
        <v>10</v>
      </c>
      <c r="D20" s="5">
        <v>8</v>
      </c>
      <c r="E20" s="5">
        <v>50</v>
      </c>
      <c r="F20" s="2">
        <v>400</v>
      </c>
      <c r="G20" s="1" t="str">
        <f t="shared" si="0"/>
        <v>ViciousHunger</v>
      </c>
      <c r="H20" s="5" t="s">
        <v>63</v>
      </c>
      <c r="J20" s="5" t="s">
        <v>64</v>
      </c>
    </row>
    <row r="21" spans="1:10" ht="15.75" customHeight="1" x14ac:dyDescent="0.35">
      <c r="A21" s="17"/>
      <c r="B21" s="1" t="s">
        <v>24</v>
      </c>
      <c r="C21" s="5">
        <v>10</v>
      </c>
      <c r="D21" s="5">
        <v>8</v>
      </c>
      <c r="E21" s="5">
        <v>50</v>
      </c>
      <c r="F21" s="2">
        <v>800</v>
      </c>
      <c r="G21" s="1" t="str">
        <f t="shared" si="0"/>
        <v>Mannajja</v>
      </c>
      <c r="H21" s="5" t="s">
        <v>65</v>
      </c>
      <c r="J21" s="5" t="s">
        <v>66</v>
      </c>
    </row>
    <row r="22" spans="1:10" ht="15.75" customHeight="1" x14ac:dyDescent="0.35">
      <c r="A22" s="17"/>
      <c r="B22" s="1" t="s">
        <v>25</v>
      </c>
      <c r="C22" s="5">
        <v>10</v>
      </c>
      <c r="D22" s="5">
        <v>8</v>
      </c>
      <c r="E22" s="5">
        <v>50</v>
      </c>
      <c r="F22" s="2">
        <v>400</v>
      </c>
      <c r="G22" s="1" t="str">
        <f t="shared" si="0"/>
        <v>ValkyrieTurner</v>
      </c>
      <c r="H22" s="5" t="s">
        <v>67</v>
      </c>
      <c r="J22" s="5" t="s">
        <v>68</v>
      </c>
    </row>
    <row r="23" spans="1:10" ht="15.75" customHeight="1" x14ac:dyDescent="0.35">
      <c r="A23" s="17"/>
      <c r="B23" s="10" t="s">
        <v>26</v>
      </c>
      <c r="C23" s="5" t="s">
        <v>18</v>
      </c>
      <c r="D23" s="5">
        <v>7</v>
      </c>
      <c r="E23" s="5">
        <v>70</v>
      </c>
      <c r="F23" s="2">
        <v>400</v>
      </c>
      <c r="G23" s="1" t="str">
        <f t="shared" si="0"/>
        <v>InfiniteCorridor</v>
      </c>
      <c r="H23" s="5" t="s">
        <v>69</v>
      </c>
      <c r="J23" s="5" t="s">
        <v>70</v>
      </c>
    </row>
    <row r="24" spans="1:10" ht="15.75" customHeight="1" x14ac:dyDescent="0.35">
      <c r="A24" s="17"/>
      <c r="B24" s="10" t="s">
        <v>27</v>
      </c>
      <c r="C24" s="5" t="s">
        <v>18</v>
      </c>
      <c r="D24" s="5">
        <v>7</v>
      </c>
      <c r="E24" s="5">
        <v>60</v>
      </c>
      <c r="F24" s="2">
        <v>10</v>
      </c>
      <c r="G24" s="1" t="str">
        <f t="shared" si="0"/>
        <v>CrimsonShroud</v>
      </c>
      <c r="H24" s="5" t="s">
        <v>41</v>
      </c>
      <c r="J24" s="5" t="s">
        <v>71</v>
      </c>
    </row>
    <row r="25" spans="1:10" ht="15.75" customHeight="1" x14ac:dyDescent="0.35">
      <c r="A25" s="17"/>
      <c r="B25" s="9" t="s">
        <v>28</v>
      </c>
      <c r="C25" s="5">
        <v>2</v>
      </c>
      <c r="D25" s="5">
        <v>8</v>
      </c>
      <c r="E25" s="5">
        <v>50</v>
      </c>
      <c r="F25" s="2">
        <v>400</v>
      </c>
      <c r="G25" s="1" t="str">
        <f t="shared" si="0"/>
        <v>Fuwalafuwaloo</v>
      </c>
      <c r="H25" s="5" t="s">
        <v>72</v>
      </c>
      <c r="J25" s="5" t="s">
        <v>73</v>
      </c>
    </row>
    <row r="26" spans="1:10" ht="15.75" customHeight="1" x14ac:dyDescent="0.35">
      <c r="A26" s="17"/>
      <c r="B26" s="9" t="s">
        <v>29</v>
      </c>
      <c r="C26" s="5">
        <v>5</v>
      </c>
      <c r="D26" s="5">
        <v>8</v>
      </c>
      <c r="E26" s="5">
        <v>1</v>
      </c>
      <c r="F26" s="2">
        <v>1</v>
      </c>
      <c r="G26" s="1" t="str">
        <f t="shared" si="0"/>
        <v>AnimaofMortaccio</v>
      </c>
      <c r="H26" s="5" t="s">
        <v>74</v>
      </c>
      <c r="J26" s="5" t="s">
        <v>75</v>
      </c>
    </row>
    <row r="27" spans="1:10" ht="15.75" customHeight="1" x14ac:dyDescent="0.35">
      <c r="A27" s="17"/>
      <c r="B27" s="10" t="s">
        <v>30</v>
      </c>
      <c r="C27" s="5">
        <v>10</v>
      </c>
      <c r="D27" s="5">
        <v>8</v>
      </c>
      <c r="E27" s="5">
        <v>1</v>
      </c>
      <c r="F27" s="2">
        <v>1</v>
      </c>
      <c r="G27" s="1" t="str">
        <f t="shared" si="0"/>
        <v>YattaDaikarin</v>
      </c>
      <c r="H27" s="2" t="s">
        <v>76</v>
      </c>
      <c r="J27" s="2" t="s">
        <v>77</v>
      </c>
    </row>
    <row r="28" spans="1:10" ht="15.75" customHeight="1" x14ac:dyDescent="0.35">
      <c r="A28" s="17"/>
      <c r="B28" s="10" t="s">
        <v>31</v>
      </c>
      <c r="C28" s="5">
        <v>10</v>
      </c>
      <c r="D28" s="5">
        <v>8</v>
      </c>
      <c r="E28" s="5">
        <v>1</v>
      </c>
      <c r="F28" s="2">
        <v>1</v>
      </c>
      <c r="G28" s="1" t="str">
        <f t="shared" si="0"/>
        <v>Carozza!</v>
      </c>
      <c r="H28" s="2" t="s">
        <v>78</v>
      </c>
      <c r="J28" s="2" t="s">
        <v>79</v>
      </c>
    </row>
    <row r="29" spans="1:10" ht="15.75" customHeight="1" x14ac:dyDescent="0.35">
      <c r="A29" s="17"/>
      <c r="B29" s="2" t="s">
        <v>32</v>
      </c>
      <c r="C29" s="5">
        <v>5</v>
      </c>
      <c r="D29" s="5">
        <v>8</v>
      </c>
      <c r="E29" s="5">
        <v>1</v>
      </c>
      <c r="F29" s="2">
        <v>1</v>
      </c>
      <c r="G29" s="1" t="str">
        <f t="shared" si="0"/>
        <v>ProfusioneD'Amore</v>
      </c>
      <c r="H29" s="2" t="s">
        <v>80</v>
      </c>
      <c r="J29" s="2" t="s">
        <v>81</v>
      </c>
    </row>
    <row r="30" spans="1:10" ht="15.75" customHeight="1" x14ac:dyDescent="0.35">
      <c r="A30" s="17"/>
      <c r="B30" s="2" t="s">
        <v>33</v>
      </c>
      <c r="C30" s="5">
        <v>10</v>
      </c>
      <c r="D30" s="5">
        <v>8</v>
      </c>
      <c r="E30" s="5">
        <v>1</v>
      </c>
      <c r="F30" s="2">
        <v>1</v>
      </c>
      <c r="G30" s="1" t="str">
        <f t="shared" si="0"/>
        <v>None</v>
      </c>
      <c r="H30" s="2" t="s">
        <v>82</v>
      </c>
      <c r="J30" s="2" t="s">
        <v>83</v>
      </c>
    </row>
    <row r="31" spans="1:10" ht="15.75" customHeight="1" x14ac:dyDescent="0.35">
      <c r="A31" s="17"/>
      <c r="B31" s="10" t="s">
        <v>34</v>
      </c>
      <c r="C31" s="5">
        <v>10</v>
      </c>
      <c r="D31" s="5">
        <v>9</v>
      </c>
      <c r="E31" s="5">
        <v>20</v>
      </c>
      <c r="F31" s="18">
        <v>1600</v>
      </c>
      <c r="G31" s="1" t="str">
        <f t="shared" si="0"/>
        <v>None</v>
      </c>
      <c r="H31" s="2" t="s">
        <v>84</v>
      </c>
      <c r="J31" s="2" t="s">
        <v>83</v>
      </c>
    </row>
    <row r="32" spans="1:10" ht="15.75" customHeight="1" x14ac:dyDescent="0.35">
      <c r="A32" s="17"/>
      <c r="B32" s="10" t="s">
        <v>35</v>
      </c>
      <c r="C32" s="5">
        <v>10</v>
      </c>
      <c r="D32" s="5">
        <v>6</v>
      </c>
      <c r="E32" s="5">
        <v>40</v>
      </c>
      <c r="F32" s="2">
        <v>800</v>
      </c>
      <c r="G32" s="1" t="str">
        <f t="shared" si="0"/>
        <v>Bi-Bracelet</v>
      </c>
      <c r="H32" s="2" t="s">
        <v>85</v>
      </c>
      <c r="J32" s="2" t="s">
        <v>86</v>
      </c>
    </row>
    <row r="33" spans="1:10" ht="15.75" customHeight="1" x14ac:dyDescent="0.35">
      <c r="A33" s="17"/>
      <c r="B33" s="10" t="s">
        <v>36</v>
      </c>
      <c r="C33" s="5" t="s">
        <v>18</v>
      </c>
      <c r="D33" s="5">
        <v>1</v>
      </c>
      <c r="E33" s="5">
        <v>2</v>
      </c>
      <c r="F33" s="18">
        <v>1600</v>
      </c>
      <c r="G33" s="1" t="str">
        <f t="shared" si="0"/>
        <v>None</v>
      </c>
      <c r="H33" s="2" t="s">
        <v>87</v>
      </c>
      <c r="J33" s="2" t="s">
        <v>83</v>
      </c>
    </row>
    <row r="34" spans="1:10" ht="15.75" customHeight="1" x14ac:dyDescent="0.35">
      <c r="A34" s="12"/>
      <c r="B34" s="9" t="s">
        <v>37</v>
      </c>
      <c r="C34" s="5">
        <v>20</v>
      </c>
      <c r="D34" s="5">
        <v>8</v>
      </c>
      <c r="E34" s="5">
        <v>60</v>
      </c>
      <c r="F34" s="2">
        <v>400</v>
      </c>
      <c r="G34" s="1" t="str">
        <f t="shared" si="0"/>
        <v>MazoFamiliar</v>
      </c>
      <c r="H34" s="5" t="s">
        <v>88</v>
      </c>
      <c r="J34" s="5" t="s">
        <v>89</v>
      </c>
    </row>
    <row r="35" spans="1:10" ht="15.75" customHeight="1" x14ac:dyDescent="0.35">
      <c r="A35" s="12"/>
      <c r="B35" s="9" t="s">
        <v>38</v>
      </c>
      <c r="C35" s="5">
        <v>5</v>
      </c>
      <c r="D35" s="5">
        <v>8</v>
      </c>
      <c r="E35" s="5">
        <v>60</v>
      </c>
      <c r="F35" s="2">
        <v>10</v>
      </c>
      <c r="G35" s="1" t="str">
        <f t="shared" si="0"/>
        <v>Gunastrophe</v>
      </c>
      <c r="H35" s="5" t="s">
        <v>90</v>
      </c>
      <c r="J35" s="5" t="s">
        <v>91</v>
      </c>
    </row>
    <row r="36" spans="1:10" ht="15.75" customHeight="1" x14ac:dyDescent="0.35">
      <c r="A36" s="12"/>
      <c r="B36" s="5" t="s">
        <v>92</v>
      </c>
      <c r="C36" s="5">
        <v>5</v>
      </c>
      <c r="D36" s="5">
        <v>12</v>
      </c>
      <c r="E36" s="5">
        <v>30</v>
      </c>
      <c r="F36" s="18">
        <v>10800</v>
      </c>
      <c r="G36" s="1" t="str">
        <f t="shared" si="0"/>
        <v>None</v>
      </c>
      <c r="H36" s="2" t="s">
        <v>93</v>
      </c>
      <c r="J36" s="2" t="s">
        <v>83</v>
      </c>
    </row>
    <row r="37" spans="1:10" ht="15.75" customHeight="1" x14ac:dyDescent="0.35">
      <c r="A37" s="12"/>
      <c r="B37" s="5" t="s">
        <v>94</v>
      </c>
      <c r="C37" s="5">
        <v>10</v>
      </c>
      <c r="D37" s="5">
        <v>8</v>
      </c>
      <c r="E37" s="5">
        <v>30</v>
      </c>
      <c r="F37" s="18">
        <v>1600</v>
      </c>
      <c r="G37" s="1" t="str">
        <f t="shared" si="0"/>
        <v>AshesofMuspell</v>
      </c>
      <c r="H37" s="2" t="s">
        <v>95</v>
      </c>
      <c r="J37" s="2" t="s">
        <v>96</v>
      </c>
    </row>
    <row r="38" spans="1:10" ht="15.75" customHeight="1" x14ac:dyDescent="0.35">
      <c r="A38" s="12"/>
      <c r="B38" s="2" t="s">
        <v>97</v>
      </c>
      <c r="C38" s="5">
        <v>10</v>
      </c>
      <c r="D38" s="5">
        <v>8</v>
      </c>
      <c r="E38" s="5">
        <v>40</v>
      </c>
      <c r="F38" s="2"/>
      <c r="G38" s="1" t="str">
        <f t="shared" si="0"/>
        <v>WickedRuler</v>
      </c>
      <c r="H38" s="2" t="s">
        <v>98</v>
      </c>
      <c r="J38" s="2" t="s">
        <v>99</v>
      </c>
    </row>
    <row r="39" spans="1:10" ht="15.75" customHeight="1" x14ac:dyDescent="0.35">
      <c r="A39" s="12"/>
      <c r="B39" s="2" t="s">
        <v>100</v>
      </c>
      <c r="C39" s="5">
        <v>10</v>
      </c>
      <c r="D39" s="5">
        <v>8</v>
      </c>
      <c r="E39" s="5">
        <v>50</v>
      </c>
      <c r="F39" s="2">
        <v>800</v>
      </c>
      <c r="G39" s="1" t="str">
        <f t="shared" si="0"/>
        <v>CelestialVoulge</v>
      </c>
      <c r="H39" s="2" t="s">
        <v>101</v>
      </c>
      <c r="J39" s="2" t="s">
        <v>102</v>
      </c>
    </row>
    <row r="40" spans="1:10" ht="15.75" customHeight="1" x14ac:dyDescent="0.35">
      <c r="A40" s="12"/>
      <c r="B40" s="10" t="s">
        <v>103</v>
      </c>
      <c r="C40" s="5">
        <v>20</v>
      </c>
      <c r="D40" s="5">
        <v>8</v>
      </c>
      <c r="E40" s="5">
        <v>60</v>
      </c>
      <c r="F40" s="2">
        <v>400</v>
      </c>
      <c r="G40" s="1" t="str">
        <f t="shared" si="0"/>
        <v>SeraphicCry</v>
      </c>
      <c r="H40" s="2" t="s">
        <v>104</v>
      </c>
      <c r="J40" s="2" t="s">
        <v>105</v>
      </c>
    </row>
    <row r="41" spans="1:10" ht="15.75" customHeight="1" x14ac:dyDescent="0.35">
      <c r="A41" s="12"/>
      <c r="B41" s="13" t="s">
        <v>106</v>
      </c>
      <c r="C41" s="5">
        <v>5</v>
      </c>
      <c r="D41" s="5">
        <v>8</v>
      </c>
      <c r="E41" s="5">
        <v>50</v>
      </c>
      <c r="F41" s="2">
        <v>800</v>
      </c>
      <c r="G41" s="1" t="str">
        <f t="shared" si="0"/>
        <v>EmbraceofGaea</v>
      </c>
      <c r="H41" s="2" t="s">
        <v>107</v>
      </c>
      <c r="J41" s="2" t="s">
        <v>108</v>
      </c>
    </row>
    <row r="42" spans="1:10" ht="15.75" customHeight="1" x14ac:dyDescent="0.35">
      <c r="A42" s="14"/>
      <c r="B42" s="13" t="s">
        <v>109</v>
      </c>
      <c r="C42" s="5">
        <v>10</v>
      </c>
      <c r="D42" s="5">
        <v>8</v>
      </c>
      <c r="E42" s="5">
        <v>60</v>
      </c>
      <c r="F42" s="2">
        <v>400</v>
      </c>
      <c r="G42" s="1" t="str">
        <f t="shared" si="0"/>
        <v>Kyra-Stones</v>
      </c>
      <c r="H42" s="2" t="s">
        <v>110</v>
      </c>
      <c r="J42" s="2" t="s">
        <v>111</v>
      </c>
    </row>
    <row r="43" spans="1:10" ht="15.75" customHeight="1" x14ac:dyDescent="0.35">
      <c r="A43" s="14"/>
      <c r="B43" s="14" t="s">
        <v>112</v>
      </c>
      <c r="C43" s="5">
        <v>5</v>
      </c>
      <c r="D43" s="5">
        <v>8</v>
      </c>
      <c r="E43" s="5">
        <v>50</v>
      </c>
      <c r="F43" s="2">
        <v>800</v>
      </c>
      <c r="G43" s="1" t="str">
        <f t="shared" si="0"/>
        <v>Photonstorm</v>
      </c>
      <c r="H43" s="2" t="s">
        <v>113</v>
      </c>
      <c r="J43" s="2" t="s">
        <v>114</v>
      </c>
    </row>
    <row r="44" spans="1:10" ht="15.75" customHeight="1" x14ac:dyDescent="0.35">
      <c r="B44" s="15" t="s">
        <v>115</v>
      </c>
      <c r="C44" s="11" t="s">
        <v>18</v>
      </c>
      <c r="D44" s="11">
        <v>1</v>
      </c>
      <c r="E44" s="11">
        <v>30</v>
      </c>
      <c r="F44" s="18">
        <v>1000</v>
      </c>
      <c r="G44" s="1" t="str">
        <f t="shared" si="0"/>
        <v>None</v>
      </c>
      <c r="H44" s="2" t="s">
        <v>116</v>
      </c>
      <c r="J44" s="2" t="s">
        <v>83</v>
      </c>
    </row>
    <row r="45" spans="1:10" ht="15.75" customHeight="1" x14ac:dyDescent="0.35">
      <c r="B45" s="15" t="s">
        <v>117</v>
      </c>
      <c r="C45" s="11">
        <v>10</v>
      </c>
      <c r="D45" s="11">
        <v>8</v>
      </c>
      <c r="E45" s="11">
        <v>50</v>
      </c>
      <c r="F45" s="2">
        <v>800</v>
      </c>
      <c r="G45" s="1" t="str">
        <f t="shared" si="0"/>
        <v>FestiveWinds</v>
      </c>
      <c r="H45" s="2" t="s">
        <v>118</v>
      </c>
      <c r="J45" s="2" t="s">
        <v>119</v>
      </c>
    </row>
    <row r="46" spans="1:10" ht="15.75" customHeight="1" x14ac:dyDescent="0.35">
      <c r="B46" s="3" t="s">
        <v>120</v>
      </c>
      <c r="C46" s="11">
        <v>5</v>
      </c>
      <c r="D46" s="11">
        <v>8</v>
      </c>
      <c r="E46" s="11">
        <v>50</v>
      </c>
      <c r="F46" s="2">
        <v>800</v>
      </c>
      <c r="G46" s="1" t="str">
        <f t="shared" si="0"/>
        <v>GodaiShuffle</v>
      </c>
      <c r="H46" s="2" t="s">
        <v>121</v>
      </c>
      <c r="J46" s="2" t="s">
        <v>122</v>
      </c>
    </row>
    <row r="47" spans="1:10" ht="15.75" customHeight="1" x14ac:dyDescent="0.35">
      <c r="B47" s="3" t="s">
        <v>123</v>
      </c>
      <c r="C47" s="11">
        <v>10</v>
      </c>
      <c r="D47" s="11">
        <v>8</v>
      </c>
      <c r="E47" s="11">
        <v>50</v>
      </c>
      <c r="F47" s="2">
        <v>800</v>
      </c>
      <c r="G47" s="1" t="str">
        <f t="shared" si="0"/>
        <v>EchoNight</v>
      </c>
      <c r="H47" s="2" t="s">
        <v>124</v>
      </c>
      <c r="J47" s="2" t="s">
        <v>125</v>
      </c>
    </row>
    <row r="48" spans="1:10" ht="15.75" customHeight="1" x14ac:dyDescent="0.35">
      <c r="B48" s="3" t="s">
        <v>126</v>
      </c>
      <c r="C48" s="11">
        <v>10</v>
      </c>
      <c r="D48" s="11">
        <v>8</v>
      </c>
      <c r="E48" s="11">
        <v>50</v>
      </c>
      <c r="F48" s="2">
        <v>800</v>
      </c>
      <c r="G48" s="1" t="str">
        <f t="shared" si="0"/>
        <v>J'Odore</v>
      </c>
      <c r="H48" s="2" t="s">
        <v>127</v>
      </c>
      <c r="J48" s="2" t="s">
        <v>128</v>
      </c>
    </row>
    <row r="49" spans="2:10" ht="15.75" customHeight="1" x14ac:dyDescent="0.35">
      <c r="B49" s="3" t="s">
        <v>129</v>
      </c>
      <c r="C49" s="11">
        <v>5</v>
      </c>
      <c r="D49" s="11">
        <v>8</v>
      </c>
      <c r="E49" s="11">
        <v>30</v>
      </c>
      <c r="F49" s="2">
        <v>800</v>
      </c>
      <c r="G49" s="1" t="str">
        <f t="shared" si="0"/>
        <v>Muramasa</v>
      </c>
      <c r="H49" s="2" t="s">
        <v>130</v>
      </c>
      <c r="J49" s="2" t="s">
        <v>131</v>
      </c>
    </row>
    <row r="50" spans="2:10" ht="15.75" customHeight="1" x14ac:dyDescent="0.35">
      <c r="B50" s="3" t="s">
        <v>132</v>
      </c>
      <c r="C50" s="11">
        <v>5</v>
      </c>
      <c r="D50" s="11">
        <v>8</v>
      </c>
      <c r="E50" s="11">
        <v>1</v>
      </c>
      <c r="F50" s="2">
        <v>1</v>
      </c>
      <c r="G50" s="1" t="str">
        <f t="shared" si="0"/>
        <v>BooRooBoolle</v>
      </c>
      <c r="H50" s="2" t="s">
        <v>133</v>
      </c>
      <c r="J50" s="2" t="s">
        <v>134</v>
      </c>
    </row>
    <row r="51" spans="2:10" ht="15.75" customHeight="1" x14ac:dyDescent="0.35">
      <c r="B51" s="3" t="s">
        <v>135</v>
      </c>
      <c r="C51" s="11">
        <v>12</v>
      </c>
      <c r="D51" s="11">
        <v>8</v>
      </c>
      <c r="E51" s="11">
        <v>10</v>
      </c>
      <c r="F51" s="2">
        <v>800</v>
      </c>
      <c r="G51" s="1" t="str">
        <f t="shared" si="0"/>
        <v>None</v>
      </c>
      <c r="H51" s="2" t="s">
        <v>136</v>
      </c>
      <c r="J51" s="2" t="s">
        <v>83</v>
      </c>
    </row>
    <row r="52" spans="2:10" ht="15.75" customHeight="1" x14ac:dyDescent="0.35">
      <c r="B52" s="3" t="s">
        <v>137</v>
      </c>
      <c r="C52" s="11">
        <v>5</v>
      </c>
      <c r="D52" s="11">
        <v>6</v>
      </c>
      <c r="E52" s="11">
        <v>70</v>
      </c>
      <c r="F52" s="2">
        <v>300</v>
      </c>
      <c r="G52" s="1" t="str">
        <f t="shared" si="0"/>
        <v>SpellStrom</v>
      </c>
      <c r="H52" s="2" t="s">
        <v>138</v>
      </c>
      <c r="J52" s="2" t="s">
        <v>139</v>
      </c>
    </row>
    <row r="53" spans="2:10" ht="15.75" customHeight="1" x14ac:dyDescent="0.35">
      <c r="B53" s="3" t="s">
        <v>140</v>
      </c>
      <c r="C53" s="11">
        <v>5</v>
      </c>
      <c r="D53" s="11">
        <v>6</v>
      </c>
      <c r="E53" s="11">
        <v>70</v>
      </c>
      <c r="F53" s="2">
        <v>300</v>
      </c>
      <c r="G53" s="1" t="str">
        <f t="shared" si="0"/>
        <v/>
      </c>
      <c r="H53" s="2" t="s">
        <v>141</v>
      </c>
      <c r="J53" s="2"/>
    </row>
    <row r="54" spans="2:10" ht="15.75" customHeight="1" x14ac:dyDescent="0.35">
      <c r="B54" s="3" t="s">
        <v>142</v>
      </c>
      <c r="C54" s="11">
        <v>20</v>
      </c>
      <c r="D54" s="11">
        <v>6</v>
      </c>
      <c r="E54" s="11">
        <v>70</v>
      </c>
      <c r="F54" s="2">
        <v>300</v>
      </c>
      <c r="G54" s="1" t="str">
        <f t="shared" si="0"/>
        <v/>
      </c>
      <c r="H54" s="2" t="s">
        <v>143</v>
      </c>
      <c r="J54" s="2"/>
    </row>
    <row r="55" spans="2:10" ht="15.75" customHeight="1" x14ac:dyDescent="0.35">
      <c r="B55" s="3" t="s">
        <v>144</v>
      </c>
      <c r="C55" s="11">
        <v>10</v>
      </c>
      <c r="D55" s="11">
        <v>8</v>
      </c>
      <c r="E55" s="11">
        <v>50</v>
      </c>
      <c r="F55" s="2">
        <v>800</v>
      </c>
      <c r="G55" s="1" t="str">
        <f t="shared" si="0"/>
        <v>Legionnaire</v>
      </c>
      <c r="H55" s="2" t="s">
        <v>145</v>
      </c>
      <c r="J55" s="2" t="s">
        <v>146</v>
      </c>
    </row>
    <row r="56" spans="2:10" ht="15.75" customHeight="1" x14ac:dyDescent="0.35">
      <c r="B56" s="3" t="s">
        <v>147</v>
      </c>
      <c r="C56" s="11">
        <v>10</v>
      </c>
      <c r="D56" s="11">
        <v>8</v>
      </c>
      <c r="E56" s="11">
        <v>50</v>
      </c>
      <c r="F56" s="2">
        <v>400</v>
      </c>
      <c r="G56" s="1" t="str">
        <f t="shared" si="0"/>
        <v>Millionaire</v>
      </c>
      <c r="H56" s="2" t="s">
        <v>148</v>
      </c>
      <c r="J56" s="2" t="s">
        <v>149</v>
      </c>
    </row>
    <row r="57" spans="2:10" ht="15.75" customHeight="1" x14ac:dyDescent="0.35">
      <c r="B57" s="3" t="s">
        <v>150</v>
      </c>
      <c r="C57" s="11">
        <v>10</v>
      </c>
      <c r="D57" s="11">
        <v>8</v>
      </c>
      <c r="E57" s="11">
        <v>50</v>
      </c>
      <c r="F57" s="2">
        <v>800</v>
      </c>
      <c r="G57" s="1" t="str">
        <f t="shared" si="0"/>
        <v>Luminaire</v>
      </c>
      <c r="H57" s="2" t="s">
        <v>151</v>
      </c>
      <c r="J57" s="2" t="s">
        <v>152</v>
      </c>
    </row>
    <row r="58" spans="2:10" ht="15.75" customHeight="1" x14ac:dyDescent="0.35">
      <c r="B58" s="3" t="s">
        <v>153</v>
      </c>
      <c r="C58" s="11">
        <v>10</v>
      </c>
      <c r="D58" s="11">
        <v>8</v>
      </c>
      <c r="E58" s="11">
        <v>50</v>
      </c>
      <c r="F58" s="2">
        <v>800</v>
      </c>
      <c r="G58" s="1" t="str">
        <f t="shared" si="0"/>
        <v>Ophion</v>
      </c>
      <c r="H58" s="2" t="s">
        <v>154</v>
      </c>
      <c r="J58" s="2" t="s">
        <v>155</v>
      </c>
    </row>
    <row r="59" spans="2:10" ht="15.75" customHeight="1" x14ac:dyDescent="0.35">
      <c r="B59" s="3" t="s">
        <v>156</v>
      </c>
      <c r="C59" s="11">
        <v>5</v>
      </c>
      <c r="D59" s="11">
        <v>8</v>
      </c>
      <c r="E59" s="11">
        <v>1</v>
      </c>
      <c r="F59" s="2">
        <v>1</v>
      </c>
      <c r="G59" s="1" t="str">
        <f t="shared" si="0"/>
        <v>None</v>
      </c>
      <c r="H59" s="2" t="s">
        <v>157</v>
      </c>
      <c r="J59" s="2" t="s">
        <v>83</v>
      </c>
    </row>
    <row r="60" spans="2:10" ht="15.75" customHeight="1" x14ac:dyDescent="0.35">
      <c r="B60" s="3" t="s">
        <v>158</v>
      </c>
      <c r="C60" s="11">
        <v>6.5</v>
      </c>
      <c r="D60" s="11">
        <v>8</v>
      </c>
      <c r="E60" s="11">
        <v>50</v>
      </c>
      <c r="F60" s="2">
        <v>400</v>
      </c>
      <c r="G60" s="1" t="str">
        <f t="shared" si="0"/>
        <v>EmergencyMeeting</v>
      </c>
      <c r="H60" s="2" t="s">
        <v>159</v>
      </c>
      <c r="J60" s="2" t="s">
        <v>160</v>
      </c>
    </row>
    <row r="61" spans="2:10" ht="15.75" customHeight="1" x14ac:dyDescent="0.35">
      <c r="B61" s="3" t="s">
        <v>161</v>
      </c>
      <c r="C61" s="11">
        <v>10</v>
      </c>
      <c r="D61" s="11">
        <v>8</v>
      </c>
      <c r="E61" s="11">
        <v>50</v>
      </c>
      <c r="F61" s="2">
        <v>400</v>
      </c>
      <c r="G61" s="1" t="str">
        <f t="shared" si="0"/>
        <v>CrossedWires</v>
      </c>
      <c r="H61" s="2" t="s">
        <v>162</v>
      </c>
      <c r="J61" s="2" t="s">
        <v>163</v>
      </c>
    </row>
    <row r="62" spans="2:10" ht="15.75" customHeight="1" x14ac:dyDescent="0.35">
      <c r="B62" s="3" t="s">
        <v>164</v>
      </c>
      <c r="C62" s="11" t="s">
        <v>18</v>
      </c>
      <c r="D62" s="11">
        <v>8</v>
      </c>
      <c r="E62" s="11">
        <v>40</v>
      </c>
      <c r="F62" s="2">
        <v>200</v>
      </c>
      <c r="G62" s="1" t="str">
        <f t="shared" si="0"/>
        <v>ParanormalScan</v>
      </c>
      <c r="H62" s="2" t="s">
        <v>165</v>
      </c>
      <c r="J62" s="2" t="s">
        <v>166</v>
      </c>
    </row>
    <row r="63" spans="2:10" ht="15.75" customHeight="1" x14ac:dyDescent="0.35">
      <c r="B63" s="3" t="s">
        <v>167</v>
      </c>
      <c r="C63" s="11">
        <v>200</v>
      </c>
      <c r="D63" s="11">
        <v>8</v>
      </c>
      <c r="E63" s="11">
        <v>50</v>
      </c>
      <c r="F63" s="2">
        <v>400</v>
      </c>
      <c r="G63" s="1" t="str">
        <f t="shared" si="0"/>
        <v>UnjustEjection</v>
      </c>
      <c r="H63" s="2" t="s">
        <v>168</v>
      </c>
      <c r="J63" s="2" t="s">
        <v>169</v>
      </c>
    </row>
    <row r="64" spans="2:10" ht="15.75" customHeight="1" x14ac:dyDescent="0.35">
      <c r="B64" s="3" t="s">
        <v>170</v>
      </c>
      <c r="C64" s="11">
        <v>10</v>
      </c>
      <c r="D64" s="11">
        <v>8</v>
      </c>
      <c r="E64" s="11">
        <v>50</v>
      </c>
      <c r="F64" s="2">
        <v>400</v>
      </c>
      <c r="G64" s="1" t="str">
        <f t="shared" si="0"/>
        <v>ClearAsteroids</v>
      </c>
      <c r="H64" s="2" t="s">
        <v>171</v>
      </c>
      <c r="J64" s="2" t="s">
        <v>172</v>
      </c>
    </row>
    <row r="65" spans="2:10" ht="15.75" customHeight="1" x14ac:dyDescent="0.35">
      <c r="B65" s="3" t="s">
        <v>173</v>
      </c>
      <c r="C65" s="11">
        <v>10</v>
      </c>
      <c r="D65" s="11">
        <v>8</v>
      </c>
      <c r="E65" s="11">
        <v>50</v>
      </c>
      <c r="F65" s="2">
        <v>400</v>
      </c>
      <c r="G65" s="1" t="str">
        <f t="shared" si="0"/>
        <v>Impostongue</v>
      </c>
      <c r="H65" s="2" t="s">
        <v>174</v>
      </c>
      <c r="J65" s="2" t="s">
        <v>175</v>
      </c>
    </row>
    <row r="66" spans="2:10" ht="15.75" customHeight="1" x14ac:dyDescent="0.35">
      <c r="B66" s="3" t="s">
        <v>176</v>
      </c>
      <c r="C66" s="11">
        <v>10</v>
      </c>
      <c r="D66" s="11">
        <v>8</v>
      </c>
      <c r="E66" s="11">
        <v>50</v>
      </c>
      <c r="F66" s="2">
        <v>400</v>
      </c>
      <c r="G66" s="1" t="str">
        <f t="shared" si="0"/>
        <v>RocketScience</v>
      </c>
      <c r="H66" s="2" t="s">
        <v>177</v>
      </c>
      <c r="J66" s="2" t="s">
        <v>178</v>
      </c>
    </row>
    <row r="67" spans="2:10" ht="15.75" customHeight="1" x14ac:dyDescent="0.35">
      <c r="B67" s="3" t="s">
        <v>179</v>
      </c>
      <c r="C67" s="11">
        <v>10</v>
      </c>
      <c r="D67" s="11">
        <v>8</v>
      </c>
      <c r="E67" s="11">
        <v>1</v>
      </c>
      <c r="F67" s="2">
        <v>1</v>
      </c>
      <c r="G67" s="1" t="str">
        <f t="shared" si="0"/>
        <v>None</v>
      </c>
      <c r="H67" s="2" t="s">
        <v>180</v>
      </c>
      <c r="J67" s="2" t="s">
        <v>83</v>
      </c>
    </row>
    <row r="68" spans="2:10" ht="15.75" customHeight="1" x14ac:dyDescent="0.35">
      <c r="B68" s="3" t="s">
        <v>181</v>
      </c>
      <c r="C68" s="11">
        <v>5</v>
      </c>
      <c r="D68" s="11">
        <v>8</v>
      </c>
      <c r="E68" s="11">
        <v>50</v>
      </c>
      <c r="F68" s="2">
        <v>400</v>
      </c>
      <c r="G68" s="1" t="str">
        <f t="shared" si="0"/>
        <v>PrototypeA</v>
      </c>
      <c r="H68" s="2" t="s">
        <v>182</v>
      </c>
      <c r="J68" s="2" t="s">
        <v>183</v>
      </c>
    </row>
    <row r="69" spans="2:10" ht="15.75" customHeight="1" x14ac:dyDescent="0.35">
      <c r="B69" s="3" t="s">
        <v>184</v>
      </c>
      <c r="C69" s="11">
        <v>20</v>
      </c>
      <c r="D69" s="11">
        <v>8</v>
      </c>
      <c r="E69" s="11">
        <v>50</v>
      </c>
      <c r="F69" s="2">
        <v>10</v>
      </c>
      <c r="G69" s="1" t="str">
        <f t="shared" si="0"/>
        <v>PrototypeB</v>
      </c>
      <c r="H69" s="2" t="s">
        <v>185</v>
      </c>
      <c r="J69" s="2" t="s">
        <v>186</v>
      </c>
    </row>
    <row r="70" spans="2:10" ht="15.75" customHeight="1" x14ac:dyDescent="0.35">
      <c r="B70" s="3" t="s">
        <v>187</v>
      </c>
      <c r="C70" s="11">
        <v>10</v>
      </c>
      <c r="D70" s="11">
        <v>8</v>
      </c>
      <c r="E70" s="11">
        <v>50</v>
      </c>
      <c r="F70" s="18">
        <v>1000</v>
      </c>
      <c r="G70" s="1" t="str">
        <f t="shared" ref="G70:G133" si="1">SUBSTITUTE(J70, " ", "")</f>
        <v>PrototypeC</v>
      </c>
      <c r="H70" s="2" t="s">
        <v>188</v>
      </c>
      <c r="J70" s="2" t="s">
        <v>189</v>
      </c>
    </row>
    <row r="71" spans="2:10" ht="15.75" customHeight="1" x14ac:dyDescent="0.35">
      <c r="B71" s="3" t="s">
        <v>190</v>
      </c>
      <c r="C71" s="11">
        <v>5</v>
      </c>
      <c r="D71" s="11">
        <v>8</v>
      </c>
      <c r="E71" s="11">
        <v>50</v>
      </c>
      <c r="F71" s="2">
        <v>200</v>
      </c>
      <c r="G71" s="1" t="str">
        <f t="shared" si="1"/>
        <v>ProntoBeam</v>
      </c>
      <c r="H71" s="2" t="s">
        <v>191</v>
      </c>
      <c r="J71" s="2" t="s">
        <v>192</v>
      </c>
    </row>
    <row r="72" spans="2:10" ht="15.75" customHeight="1" x14ac:dyDescent="0.35">
      <c r="B72" s="3" t="s">
        <v>193</v>
      </c>
      <c r="C72" s="11">
        <v>8</v>
      </c>
      <c r="D72" s="11">
        <v>8</v>
      </c>
      <c r="E72" s="11">
        <v>50</v>
      </c>
      <c r="F72" s="18">
        <v>1600</v>
      </c>
      <c r="G72" s="1" t="str">
        <f t="shared" si="1"/>
        <v>Fire-L3GS</v>
      </c>
      <c r="H72" s="2" t="s">
        <v>194</v>
      </c>
      <c r="J72" s="2" t="s">
        <v>195</v>
      </c>
    </row>
    <row r="73" spans="2:10" ht="15.75" customHeight="1" x14ac:dyDescent="0.35">
      <c r="B73" s="3" t="s">
        <v>196</v>
      </c>
      <c r="C73" s="11">
        <v>7.5</v>
      </c>
      <c r="D73" s="11">
        <v>8</v>
      </c>
      <c r="E73" s="11">
        <v>50</v>
      </c>
      <c r="F73" s="2">
        <v>200</v>
      </c>
      <c r="G73" s="1" t="str">
        <f t="shared" si="1"/>
        <v>WaveBeam</v>
      </c>
      <c r="H73" s="2" t="s">
        <v>197</v>
      </c>
      <c r="J73" s="2" t="s">
        <v>198</v>
      </c>
    </row>
    <row r="74" spans="2:10" ht="15.75" customHeight="1" x14ac:dyDescent="0.35">
      <c r="B74" s="3" t="s">
        <v>199</v>
      </c>
      <c r="C74" s="11">
        <v>20</v>
      </c>
      <c r="D74" s="11">
        <v>8</v>
      </c>
      <c r="E74" s="11">
        <v>50</v>
      </c>
      <c r="F74" s="2">
        <v>400</v>
      </c>
      <c r="G74" s="1" t="str">
        <f t="shared" si="1"/>
        <v>MultistageMissiles</v>
      </c>
      <c r="H74" s="2" t="s">
        <v>200</v>
      </c>
      <c r="J74" s="2" t="s">
        <v>201</v>
      </c>
    </row>
    <row r="75" spans="2:10" ht="15.75" customHeight="1" x14ac:dyDescent="0.35">
      <c r="B75" s="3" t="s">
        <v>202</v>
      </c>
      <c r="C75" s="11">
        <v>10</v>
      </c>
      <c r="D75" s="11">
        <v>8</v>
      </c>
      <c r="E75" s="11">
        <v>50</v>
      </c>
      <c r="F75" s="18">
        <v>1000</v>
      </c>
      <c r="G75" s="1" t="str">
        <f t="shared" si="1"/>
        <v>Atmo-Torpedo</v>
      </c>
      <c r="H75" s="2" t="s">
        <v>203</v>
      </c>
      <c r="J75" s="2" t="s">
        <v>204</v>
      </c>
    </row>
    <row r="76" spans="2:10" ht="15.75" customHeight="1" x14ac:dyDescent="0.35">
      <c r="B76" s="3" t="s">
        <v>205</v>
      </c>
      <c r="C76" s="11">
        <v>4</v>
      </c>
      <c r="D76" s="11">
        <v>8</v>
      </c>
      <c r="E76" s="11">
        <v>50</v>
      </c>
      <c r="F76" s="2">
        <v>200</v>
      </c>
      <c r="G76" s="1" t="str">
        <f t="shared" si="1"/>
        <v>BFC2000-AD</v>
      </c>
      <c r="H76" s="2" t="s">
        <v>206</v>
      </c>
      <c r="J76" s="2" t="s">
        <v>207</v>
      </c>
    </row>
    <row r="77" spans="2:10" ht="15.75" customHeight="1" x14ac:dyDescent="0.35">
      <c r="B77" s="3" t="s">
        <v>208</v>
      </c>
      <c r="C77" s="11">
        <v>8</v>
      </c>
      <c r="D77" s="11">
        <v>8</v>
      </c>
      <c r="E77" s="11">
        <v>50</v>
      </c>
      <c r="F77" s="2">
        <v>10</v>
      </c>
      <c r="G77" s="1" t="str">
        <f t="shared" si="1"/>
        <v>TimeWarp</v>
      </c>
      <c r="H77" s="2" t="s">
        <v>209</v>
      </c>
      <c r="J77" s="2" t="s">
        <v>210</v>
      </c>
    </row>
    <row r="78" spans="2:10" ht="15.75" customHeight="1" x14ac:dyDescent="0.35">
      <c r="B78" s="3" t="s">
        <v>211</v>
      </c>
      <c r="C78" s="11">
        <v>40</v>
      </c>
      <c r="D78" s="11">
        <v>8</v>
      </c>
      <c r="E78" s="11">
        <v>50</v>
      </c>
      <c r="F78" s="2">
        <v>800</v>
      </c>
      <c r="G78" s="1" t="str">
        <f t="shared" si="1"/>
        <v>BigFuzzyFist</v>
      </c>
      <c r="H78" s="2" t="s">
        <v>212</v>
      </c>
      <c r="J78" s="2" t="s">
        <v>213</v>
      </c>
    </row>
    <row r="79" spans="2:10" ht="15.75" customHeight="1" x14ac:dyDescent="0.35">
      <c r="B79" s="3" t="s">
        <v>214</v>
      </c>
      <c r="C79" s="11">
        <v>10</v>
      </c>
      <c r="D79" s="11">
        <v>8</v>
      </c>
      <c r="E79" s="11">
        <v>80</v>
      </c>
      <c r="F79" s="18">
        <v>1000</v>
      </c>
      <c r="G79" s="1" t="str">
        <f t="shared" si="1"/>
        <v>VampireKiller</v>
      </c>
      <c r="H79" s="2" t="s">
        <v>215</v>
      </c>
      <c r="J79" s="2" t="s">
        <v>216</v>
      </c>
    </row>
    <row r="80" spans="2:10" ht="15.75" customHeight="1" x14ac:dyDescent="0.35">
      <c r="B80" s="3" t="s">
        <v>217</v>
      </c>
      <c r="C80" s="11">
        <v>10</v>
      </c>
      <c r="D80" s="11">
        <v>8</v>
      </c>
      <c r="E80" s="11">
        <v>80</v>
      </c>
      <c r="F80" s="18">
        <v>1000</v>
      </c>
      <c r="G80" s="1" t="str">
        <f t="shared" si="1"/>
        <v>SpiritTornadoTip</v>
      </c>
      <c r="H80" s="2" t="s">
        <v>218</v>
      </c>
      <c r="J80" s="2" t="s">
        <v>219</v>
      </c>
    </row>
    <row r="81" spans="2:10" ht="15.75" customHeight="1" x14ac:dyDescent="0.35">
      <c r="B81" s="3" t="s">
        <v>220</v>
      </c>
      <c r="C81" s="11">
        <v>10</v>
      </c>
      <c r="D81" s="11">
        <v>8</v>
      </c>
      <c r="E81" s="11">
        <v>80</v>
      </c>
      <c r="F81" s="18">
        <v>1000</v>
      </c>
      <c r="G81" s="1" t="str">
        <f t="shared" si="1"/>
        <v>CrossCrasherTip</v>
      </c>
      <c r="H81" s="2" t="s">
        <v>221</v>
      </c>
      <c r="J81" s="2" t="s">
        <v>222</v>
      </c>
    </row>
    <row r="82" spans="2:10" ht="15.75" customHeight="1" x14ac:dyDescent="0.35">
      <c r="B82" s="3" t="s">
        <v>223</v>
      </c>
      <c r="C82" s="11">
        <v>10</v>
      </c>
      <c r="D82" s="11">
        <v>8</v>
      </c>
      <c r="E82" s="11">
        <v>80</v>
      </c>
      <c r="F82" s="18">
        <v>1000</v>
      </c>
      <c r="G82" s="1" t="str">
        <f t="shared" si="1"/>
        <v>HydrostormerTip</v>
      </c>
      <c r="H82" s="2" t="s">
        <v>224</v>
      </c>
      <c r="J82" s="2" t="s">
        <v>225</v>
      </c>
    </row>
    <row r="83" spans="2:10" ht="15.75" customHeight="1" x14ac:dyDescent="0.35">
      <c r="B83" s="3" t="s">
        <v>226</v>
      </c>
      <c r="C83" s="11">
        <v>5</v>
      </c>
      <c r="D83" s="11">
        <v>8</v>
      </c>
      <c r="E83" s="11">
        <v>80</v>
      </c>
      <c r="F83" s="2">
        <v>10</v>
      </c>
      <c r="G83" s="1" t="str">
        <f t="shared" si="1"/>
        <v>CrissaegrimTip</v>
      </c>
      <c r="H83" s="2" t="s">
        <v>227</v>
      </c>
      <c r="J83" s="2" t="s">
        <v>228</v>
      </c>
    </row>
    <row r="84" spans="2:10" ht="15.75" customHeight="1" x14ac:dyDescent="0.35">
      <c r="B84" s="3" t="s">
        <v>229</v>
      </c>
      <c r="C84" s="11">
        <v>10</v>
      </c>
      <c r="D84" s="11">
        <v>8</v>
      </c>
      <c r="E84" s="11">
        <v>80</v>
      </c>
      <c r="F84" s="2">
        <v>10</v>
      </c>
      <c r="G84" s="1" t="str">
        <f t="shared" si="1"/>
        <v>MormegilTip</v>
      </c>
      <c r="H84" s="2" t="s">
        <v>230</v>
      </c>
      <c r="J84" s="2" t="s">
        <v>231</v>
      </c>
    </row>
    <row r="85" spans="2:10" ht="15.75" customHeight="1" x14ac:dyDescent="0.35">
      <c r="B85" s="3" t="s">
        <v>232</v>
      </c>
      <c r="C85" s="11">
        <v>10</v>
      </c>
      <c r="D85" s="11">
        <v>8</v>
      </c>
      <c r="E85" s="11">
        <v>80</v>
      </c>
      <c r="F85" s="2">
        <v>100</v>
      </c>
      <c r="G85" s="1" t="str">
        <f t="shared" si="1"/>
        <v>DaybreakerTip</v>
      </c>
      <c r="H85" s="2" t="s">
        <v>233</v>
      </c>
      <c r="J85" s="2" t="s">
        <v>234</v>
      </c>
    </row>
    <row r="86" spans="2:10" ht="15.75" customHeight="1" x14ac:dyDescent="0.35">
      <c r="B86" s="3" t="s">
        <v>235</v>
      </c>
      <c r="C86" s="11">
        <v>10</v>
      </c>
      <c r="D86" s="11">
        <v>8</v>
      </c>
      <c r="E86" s="11">
        <v>80</v>
      </c>
      <c r="F86" s="2">
        <v>10</v>
      </c>
      <c r="G86" s="1" t="str">
        <f t="shared" si="1"/>
        <v>AurablasterTip</v>
      </c>
      <c r="H86" s="2" t="s">
        <v>236</v>
      </c>
      <c r="J86" s="2" t="s">
        <v>237</v>
      </c>
    </row>
    <row r="87" spans="2:10" ht="15.75" customHeight="1" x14ac:dyDescent="0.35">
      <c r="B87" s="3" t="s">
        <v>238</v>
      </c>
      <c r="C87" s="11">
        <v>10</v>
      </c>
      <c r="D87" s="11">
        <v>8</v>
      </c>
      <c r="E87" s="11">
        <v>80</v>
      </c>
      <c r="F87" s="2">
        <v>10</v>
      </c>
      <c r="G87" s="1" t="str">
        <f t="shared" si="1"/>
        <v>YagyuShuriken</v>
      </c>
      <c r="H87" s="2" t="s">
        <v>239</v>
      </c>
      <c r="J87" s="2" t="s">
        <v>240</v>
      </c>
    </row>
    <row r="88" spans="2:10" ht="15.75" customHeight="1" x14ac:dyDescent="0.35">
      <c r="B88" s="3" t="s">
        <v>241</v>
      </c>
      <c r="C88" s="11">
        <v>8</v>
      </c>
      <c r="D88" s="11">
        <v>8</v>
      </c>
      <c r="E88" s="11">
        <v>80</v>
      </c>
      <c r="F88" s="2">
        <v>10</v>
      </c>
      <c r="G88" s="1" t="str">
        <f t="shared" si="1"/>
        <v>BwakaKnife</v>
      </c>
      <c r="H88" s="2" t="s">
        <v>242</v>
      </c>
      <c r="J88" s="2" t="s">
        <v>243</v>
      </c>
    </row>
    <row r="89" spans="2:10" ht="15.75" customHeight="1" x14ac:dyDescent="0.35">
      <c r="B89" s="3" t="s">
        <v>244</v>
      </c>
      <c r="C89" s="11">
        <v>10</v>
      </c>
      <c r="D89" s="11">
        <v>8</v>
      </c>
      <c r="E89" s="11">
        <v>70</v>
      </c>
      <c r="F89" s="18">
        <v>1000</v>
      </c>
      <c r="G89" s="1" t="str">
        <f t="shared" si="1"/>
        <v>LongInus</v>
      </c>
      <c r="H89" s="2" t="s">
        <v>245</v>
      </c>
      <c r="J89" s="2" t="s">
        <v>246</v>
      </c>
    </row>
    <row r="90" spans="2:10" ht="15.75" customHeight="1" x14ac:dyDescent="0.35">
      <c r="B90" s="3" t="s">
        <v>247</v>
      </c>
      <c r="C90" s="11">
        <v>10</v>
      </c>
      <c r="D90" s="11">
        <v>8</v>
      </c>
      <c r="E90" s="11">
        <v>70</v>
      </c>
      <c r="F90" s="2">
        <v>10</v>
      </c>
      <c r="G90" s="1" t="str">
        <f t="shared" si="1"/>
        <v>StellarBlade</v>
      </c>
      <c r="H90" s="2" t="s">
        <v>248</v>
      </c>
      <c r="J90" s="2" t="s">
        <v>249</v>
      </c>
    </row>
    <row r="91" spans="2:10" ht="15.75" customHeight="1" x14ac:dyDescent="0.35">
      <c r="B91" s="3" t="s">
        <v>250</v>
      </c>
      <c r="C91" s="11">
        <v>20</v>
      </c>
      <c r="D91" s="11">
        <v>8</v>
      </c>
      <c r="E91" s="11">
        <v>60</v>
      </c>
      <c r="F91" s="18">
        <v>1000</v>
      </c>
      <c r="G91" s="1" t="str">
        <f t="shared" si="1"/>
        <v>WreckingBall</v>
      </c>
      <c r="H91" s="2" t="s">
        <v>251</v>
      </c>
      <c r="J91" s="2" t="s">
        <v>252</v>
      </c>
    </row>
    <row r="92" spans="2:10" ht="15.75" customHeight="1" x14ac:dyDescent="0.35">
      <c r="B92" s="3" t="s">
        <v>253</v>
      </c>
      <c r="C92" s="11">
        <v>30</v>
      </c>
      <c r="D92" s="11">
        <v>8</v>
      </c>
      <c r="E92" s="11">
        <v>60</v>
      </c>
      <c r="F92" s="2">
        <v>10</v>
      </c>
      <c r="G92" s="1" t="str">
        <f t="shared" si="1"/>
        <v>JewelGun</v>
      </c>
      <c r="H92" s="2" t="s">
        <v>254</v>
      </c>
      <c r="J92" s="2" t="s">
        <v>255</v>
      </c>
    </row>
    <row r="93" spans="2:10" ht="15.75" customHeight="1" x14ac:dyDescent="0.35">
      <c r="B93" s="3" t="s">
        <v>256</v>
      </c>
      <c r="C93" s="11">
        <v>10</v>
      </c>
      <c r="D93" s="11">
        <v>8</v>
      </c>
      <c r="E93" s="11">
        <v>50</v>
      </c>
      <c r="F93" s="18">
        <v>1000</v>
      </c>
      <c r="G93" s="1" t="str">
        <f t="shared" si="1"/>
        <v>TheRPG</v>
      </c>
      <c r="H93" s="2" t="s">
        <v>257</v>
      </c>
      <c r="J93" s="2" t="s">
        <v>258</v>
      </c>
    </row>
    <row r="94" spans="2:10" ht="15.75" customHeight="1" x14ac:dyDescent="0.35">
      <c r="B94" s="3" t="s">
        <v>259</v>
      </c>
      <c r="C94" s="11">
        <v>10</v>
      </c>
      <c r="D94" s="11">
        <v>8</v>
      </c>
      <c r="E94" s="11">
        <v>50</v>
      </c>
      <c r="F94" s="2">
        <v>10</v>
      </c>
      <c r="G94" s="1" t="str">
        <f t="shared" si="1"/>
        <v>MealTicket</v>
      </c>
      <c r="H94" s="2" t="s">
        <v>260</v>
      </c>
      <c r="J94" s="2" t="s">
        <v>261</v>
      </c>
    </row>
    <row r="95" spans="2:10" ht="15.75" customHeight="1" x14ac:dyDescent="0.35">
      <c r="B95" s="3" t="s">
        <v>262</v>
      </c>
      <c r="C95" s="11">
        <v>10</v>
      </c>
      <c r="D95" s="11">
        <v>8</v>
      </c>
      <c r="E95" s="11">
        <v>60</v>
      </c>
      <c r="F95" s="2">
        <v>10</v>
      </c>
      <c r="G95" s="1" t="str">
        <f t="shared" si="1"/>
        <v>Salamender</v>
      </c>
      <c r="H95" s="2" t="s">
        <v>263</v>
      </c>
      <c r="J95" s="2" t="s">
        <v>264</v>
      </c>
    </row>
    <row r="96" spans="2:10" ht="15.75" customHeight="1" x14ac:dyDescent="0.35">
      <c r="B96" s="3" t="s">
        <v>265</v>
      </c>
      <c r="C96" s="11">
        <v>10</v>
      </c>
      <c r="D96" s="11">
        <v>8</v>
      </c>
      <c r="E96" s="11">
        <v>60</v>
      </c>
      <c r="F96" s="2">
        <v>10</v>
      </c>
      <c r="G96" s="1" t="str">
        <f t="shared" si="1"/>
        <v>Cocytus</v>
      </c>
      <c r="H96" s="2" t="s">
        <v>266</v>
      </c>
      <c r="J96" s="2" t="s">
        <v>267</v>
      </c>
    </row>
    <row r="97" spans="2:10" ht="15.75" customHeight="1" x14ac:dyDescent="0.35">
      <c r="B97" s="3" t="s">
        <v>268</v>
      </c>
      <c r="C97" s="11">
        <v>3</v>
      </c>
      <c r="D97" s="11">
        <v>8</v>
      </c>
      <c r="E97" s="11">
        <v>60</v>
      </c>
      <c r="F97" s="2">
        <v>10</v>
      </c>
      <c r="G97" s="1" t="str">
        <f t="shared" si="1"/>
        <v>PneumaTempestas</v>
      </c>
      <c r="H97" s="2" t="s">
        <v>269</v>
      </c>
      <c r="J97" s="2" t="s">
        <v>270</v>
      </c>
    </row>
    <row r="98" spans="2:10" ht="15.75" customHeight="1" x14ac:dyDescent="0.35">
      <c r="B98" s="3" t="s">
        <v>271</v>
      </c>
      <c r="C98" s="11">
        <v>10</v>
      </c>
      <c r="D98" s="11">
        <v>8</v>
      </c>
      <c r="E98" s="11">
        <v>60</v>
      </c>
      <c r="F98" s="2">
        <v>10</v>
      </c>
      <c r="G98" s="1" t="str">
        <f t="shared" si="1"/>
        <v>GemmaTorpor</v>
      </c>
      <c r="H98" s="2" t="s">
        <v>272</v>
      </c>
      <c r="J98" s="2" t="s">
        <v>273</v>
      </c>
    </row>
    <row r="99" spans="2:10" ht="15.75" customHeight="1" x14ac:dyDescent="0.35">
      <c r="B99" s="3" t="s">
        <v>274</v>
      </c>
      <c r="C99" s="11">
        <v>10</v>
      </c>
      <c r="D99" s="11">
        <v>8</v>
      </c>
      <c r="E99" s="11">
        <v>60</v>
      </c>
      <c r="F99" s="2">
        <v>200</v>
      </c>
      <c r="G99" s="1" t="str">
        <f t="shared" si="1"/>
        <v>TenebrisTonitrus</v>
      </c>
      <c r="H99" s="2" t="s">
        <v>275</v>
      </c>
      <c r="J99" s="2" t="s">
        <v>276</v>
      </c>
    </row>
    <row r="100" spans="2:10" ht="15.75" customHeight="1" x14ac:dyDescent="0.35">
      <c r="B100" s="3" t="s">
        <v>277</v>
      </c>
      <c r="C100" s="11">
        <v>10</v>
      </c>
      <c r="D100" s="11">
        <v>8</v>
      </c>
      <c r="E100" s="11">
        <v>60</v>
      </c>
      <c r="F100" s="2">
        <v>200</v>
      </c>
      <c r="G100" s="1" t="str">
        <f t="shared" si="1"/>
        <v>KeremetMorbus</v>
      </c>
      <c r="H100" s="2" t="s">
        <v>278</v>
      </c>
      <c r="J100" s="2" t="s">
        <v>279</v>
      </c>
    </row>
    <row r="101" spans="2:10" ht="15.75" customHeight="1" x14ac:dyDescent="0.35">
      <c r="B101" s="3" t="s">
        <v>280</v>
      </c>
      <c r="C101" s="11">
        <v>10</v>
      </c>
      <c r="D101" s="11">
        <v>8</v>
      </c>
      <c r="E101" s="11">
        <v>60</v>
      </c>
      <c r="F101" s="2">
        <v>200</v>
      </c>
      <c r="G101" s="1" t="str">
        <f t="shared" si="1"/>
        <v>Nightmare</v>
      </c>
      <c r="H101" s="2" t="s">
        <v>281</v>
      </c>
      <c r="J101" s="2" t="s">
        <v>282</v>
      </c>
    </row>
    <row r="102" spans="2:10" ht="15.75" customHeight="1" x14ac:dyDescent="0.35">
      <c r="B102" s="3" t="s">
        <v>283</v>
      </c>
      <c r="C102" s="11">
        <v>3</v>
      </c>
      <c r="D102" s="11">
        <v>8</v>
      </c>
      <c r="E102" s="11">
        <v>60</v>
      </c>
      <c r="F102" s="2">
        <v>200</v>
      </c>
      <c r="G102" s="1" t="str">
        <f t="shared" si="1"/>
        <v>Sanctuary</v>
      </c>
      <c r="H102" s="2" t="s">
        <v>284</v>
      </c>
      <c r="J102" s="2" t="s">
        <v>285</v>
      </c>
    </row>
    <row r="103" spans="2:10" ht="15.75" customHeight="1" x14ac:dyDescent="0.35">
      <c r="B103" s="3" t="s">
        <v>286</v>
      </c>
      <c r="C103" s="11">
        <v>30</v>
      </c>
      <c r="D103" s="11">
        <v>8</v>
      </c>
      <c r="E103" s="11">
        <v>60</v>
      </c>
      <c r="F103" s="18">
        <v>1000</v>
      </c>
      <c r="G103" s="1" t="str">
        <f t="shared" si="1"/>
        <v>Stamazza</v>
      </c>
      <c r="H103" s="2" t="s">
        <v>287</v>
      </c>
      <c r="J103" s="2" t="s">
        <v>288</v>
      </c>
    </row>
    <row r="104" spans="2:10" ht="15.75" customHeight="1" x14ac:dyDescent="0.35">
      <c r="B104" s="3" t="s">
        <v>289</v>
      </c>
      <c r="C104" s="11">
        <v>10</v>
      </c>
      <c r="D104" s="11">
        <v>8</v>
      </c>
      <c r="E104" s="11">
        <v>60</v>
      </c>
      <c r="F104" s="2">
        <v>10</v>
      </c>
      <c r="G104" s="1" t="str">
        <f t="shared" si="1"/>
        <v>MoonRod</v>
      </c>
      <c r="H104" s="2" t="s">
        <v>290</v>
      </c>
      <c r="J104" s="2" t="s">
        <v>291</v>
      </c>
    </row>
    <row r="105" spans="2:10" ht="15.75" customHeight="1" x14ac:dyDescent="0.35">
      <c r="B105" s="3" t="s">
        <v>292</v>
      </c>
      <c r="C105" s="11">
        <v>10</v>
      </c>
      <c r="D105" s="11">
        <v>8</v>
      </c>
      <c r="E105" s="11">
        <v>60</v>
      </c>
      <c r="F105" s="18">
        <v>1000</v>
      </c>
      <c r="G105" s="1" t="str">
        <f t="shared" si="1"/>
        <v>ThunderboltSpear</v>
      </c>
      <c r="H105" s="2" t="s">
        <v>293</v>
      </c>
      <c r="J105" s="2" t="s">
        <v>294</v>
      </c>
    </row>
    <row r="106" spans="2:10" ht="15.75" customHeight="1" x14ac:dyDescent="0.35">
      <c r="B106" s="3" t="s">
        <v>295</v>
      </c>
      <c r="C106" s="11">
        <v>10</v>
      </c>
      <c r="D106" s="11">
        <v>8</v>
      </c>
      <c r="E106" s="11">
        <v>60</v>
      </c>
      <c r="F106" s="18">
        <v>1000</v>
      </c>
      <c r="G106" s="1" t="str">
        <f t="shared" si="1"/>
        <v>Gungnir-Souris</v>
      </c>
      <c r="H106" s="2" t="s">
        <v>296</v>
      </c>
      <c r="J106" s="2" t="s">
        <v>297</v>
      </c>
    </row>
    <row r="107" spans="2:10" ht="15.75" customHeight="1" x14ac:dyDescent="0.35">
      <c r="B107" s="3" t="s">
        <v>298</v>
      </c>
      <c r="C107" s="11">
        <v>5</v>
      </c>
      <c r="D107" s="11">
        <v>8</v>
      </c>
      <c r="E107" s="11">
        <v>50</v>
      </c>
      <c r="F107" s="2">
        <v>10</v>
      </c>
      <c r="G107" s="1" t="str">
        <f t="shared" si="1"/>
        <v>DarkIronShield</v>
      </c>
      <c r="H107" s="2" t="s">
        <v>299</v>
      </c>
      <c r="J107" s="2" t="s">
        <v>300</v>
      </c>
    </row>
    <row r="108" spans="2:10" ht="15.75" customHeight="1" x14ac:dyDescent="0.35">
      <c r="B108" s="3" t="s">
        <v>301</v>
      </c>
      <c r="C108" s="11">
        <v>10</v>
      </c>
      <c r="D108" s="11">
        <v>8</v>
      </c>
      <c r="E108" s="11">
        <v>50</v>
      </c>
      <c r="F108" s="2">
        <v>10</v>
      </c>
      <c r="G108" s="1" t="str">
        <f t="shared" si="1"/>
        <v>SacredBeastsTowerShield</v>
      </c>
      <c r="H108" s="2" t="s">
        <v>302</v>
      </c>
      <c r="J108" s="2" t="s">
        <v>303</v>
      </c>
    </row>
    <row r="109" spans="2:10" ht="15.75" customHeight="1" x14ac:dyDescent="0.35">
      <c r="B109" s="3" t="s">
        <v>304</v>
      </c>
      <c r="C109" s="11">
        <v>10</v>
      </c>
      <c r="D109" s="11">
        <v>8</v>
      </c>
      <c r="E109" s="11">
        <v>80</v>
      </c>
      <c r="F109" s="2">
        <v>100</v>
      </c>
      <c r="G109" s="1" t="str">
        <f t="shared" si="1"/>
        <v>RuneSword</v>
      </c>
      <c r="H109" s="2" t="s">
        <v>305</v>
      </c>
      <c r="J109" s="2" t="s">
        <v>306</v>
      </c>
    </row>
    <row r="110" spans="2:10" ht="15.75" customHeight="1" x14ac:dyDescent="0.35">
      <c r="B110" s="3" t="s">
        <v>307</v>
      </c>
      <c r="C110" s="11">
        <v>5</v>
      </c>
      <c r="D110" s="11">
        <v>8</v>
      </c>
      <c r="E110" s="11">
        <v>50</v>
      </c>
      <c r="F110" s="2">
        <v>10</v>
      </c>
      <c r="G110" s="1" t="str">
        <f t="shared" si="1"/>
        <v>AlucardSwords</v>
      </c>
      <c r="H110" s="2" t="s">
        <v>308</v>
      </c>
      <c r="J110" s="2" t="s">
        <v>309</v>
      </c>
    </row>
    <row r="111" spans="2:10" ht="15.75" customHeight="1" x14ac:dyDescent="0.35">
      <c r="B111" s="3" t="s">
        <v>310</v>
      </c>
      <c r="C111" s="11">
        <v>6</v>
      </c>
      <c r="D111" s="11">
        <v>6</v>
      </c>
      <c r="E111" s="11">
        <v>80</v>
      </c>
      <c r="F111" s="2">
        <v>50</v>
      </c>
      <c r="G111" s="1" t="str">
        <f t="shared" si="1"/>
        <v>VolConfodere</v>
      </c>
      <c r="H111" s="2" t="s">
        <v>311</v>
      </c>
      <c r="J111" s="2" t="s">
        <v>312</v>
      </c>
    </row>
    <row r="112" spans="2:10" ht="15.75" customHeight="1" x14ac:dyDescent="0.35">
      <c r="B112" s="3" t="s">
        <v>313</v>
      </c>
      <c r="C112" s="11">
        <v>5</v>
      </c>
      <c r="D112" s="11">
        <v>8</v>
      </c>
      <c r="E112" s="11">
        <v>60</v>
      </c>
      <c r="F112" s="2">
        <v>10</v>
      </c>
      <c r="G112" s="1" t="str">
        <f t="shared" si="1"/>
        <v>Nitesco</v>
      </c>
      <c r="H112" s="2" t="s">
        <v>314</v>
      </c>
      <c r="J112" s="2" t="s">
        <v>315</v>
      </c>
    </row>
    <row r="113" spans="2:10" ht="15.75" customHeight="1" x14ac:dyDescent="0.35">
      <c r="B113" s="3" t="s">
        <v>316</v>
      </c>
      <c r="C113" s="11">
        <v>10</v>
      </c>
      <c r="D113" s="11">
        <v>8</v>
      </c>
      <c r="E113" s="11">
        <v>60</v>
      </c>
      <c r="F113" s="18">
        <v>1000</v>
      </c>
      <c r="G113" s="1" t="str">
        <f t="shared" si="1"/>
        <v>Acerbatus</v>
      </c>
      <c r="H113" s="2" t="s">
        <v>317</v>
      </c>
      <c r="J113" s="2" t="s">
        <v>318</v>
      </c>
    </row>
    <row r="114" spans="2:10" ht="15.75" customHeight="1" x14ac:dyDescent="0.35">
      <c r="B114" s="3" t="s">
        <v>319</v>
      </c>
      <c r="C114" s="11">
        <v>20</v>
      </c>
      <c r="D114" s="11">
        <v>6</v>
      </c>
      <c r="E114" s="11">
        <v>70</v>
      </c>
      <c r="F114" s="18">
        <v>1000</v>
      </c>
      <c r="G114" s="1" t="str">
        <f t="shared" si="1"/>
        <v>TrinumCustodem</v>
      </c>
      <c r="H114" s="2" t="s">
        <v>320</v>
      </c>
      <c r="J114" s="2" t="s">
        <v>321</v>
      </c>
    </row>
    <row r="115" spans="2:10" ht="15.75" customHeight="1" x14ac:dyDescent="0.35">
      <c r="B115" s="3" t="s">
        <v>322</v>
      </c>
      <c r="C115" s="11">
        <v>20</v>
      </c>
      <c r="D115" s="11">
        <v>6</v>
      </c>
      <c r="E115" s="11">
        <v>70</v>
      </c>
      <c r="F115" s="18">
        <v>1000</v>
      </c>
      <c r="G115" s="1" t="str">
        <f t="shared" si="1"/>
        <v/>
      </c>
      <c r="H115" s="2" t="s">
        <v>323</v>
      </c>
      <c r="J115" s="2"/>
    </row>
    <row r="116" spans="2:10" ht="15.75" customHeight="1" x14ac:dyDescent="0.35">
      <c r="B116" s="3" t="s">
        <v>324</v>
      </c>
      <c r="C116" s="11">
        <v>8</v>
      </c>
      <c r="D116" s="11">
        <v>6</v>
      </c>
      <c r="E116" s="11">
        <v>70</v>
      </c>
      <c r="F116" s="18">
        <v>1000</v>
      </c>
      <c r="G116" s="1" t="str">
        <f t="shared" si="1"/>
        <v/>
      </c>
      <c r="H116" s="2" t="s">
        <v>325</v>
      </c>
      <c r="J116" s="2"/>
    </row>
    <row r="117" spans="2:10" ht="15.75" customHeight="1" x14ac:dyDescent="0.35">
      <c r="B117" s="3" t="s">
        <v>326</v>
      </c>
      <c r="C117" s="11">
        <v>10</v>
      </c>
      <c r="D117" s="11">
        <v>6</v>
      </c>
      <c r="E117" s="11">
        <v>50</v>
      </c>
      <c r="F117" s="18">
        <v>1665</v>
      </c>
      <c r="G117" s="1" t="str">
        <f t="shared" si="1"/>
        <v>PowerofSire</v>
      </c>
      <c r="H117" s="2" t="s">
        <v>327</v>
      </c>
      <c r="J117" s="2" t="s">
        <v>328</v>
      </c>
    </row>
    <row r="118" spans="2:10" ht="15.75" customHeight="1" x14ac:dyDescent="0.35">
      <c r="B118" s="3" t="s">
        <v>329</v>
      </c>
      <c r="C118" s="11">
        <v>10</v>
      </c>
      <c r="D118" s="11">
        <v>6</v>
      </c>
      <c r="E118" s="11">
        <v>50</v>
      </c>
      <c r="F118" s="18">
        <v>1665</v>
      </c>
      <c r="G118" s="1" t="str">
        <f t="shared" si="1"/>
        <v/>
      </c>
      <c r="H118" s="2" t="s">
        <v>330</v>
      </c>
      <c r="J118" s="2"/>
    </row>
    <row r="119" spans="2:10" ht="15.75" customHeight="1" x14ac:dyDescent="0.35">
      <c r="B119" s="3" t="s">
        <v>331</v>
      </c>
      <c r="C119" s="11" t="s">
        <v>18</v>
      </c>
      <c r="D119" s="11">
        <v>6</v>
      </c>
      <c r="E119" s="11">
        <v>50</v>
      </c>
      <c r="F119" s="18">
        <v>1665</v>
      </c>
      <c r="G119" s="1" t="str">
        <f t="shared" si="1"/>
        <v/>
      </c>
      <c r="H119" s="2" t="s">
        <v>332</v>
      </c>
      <c r="J119" s="2"/>
    </row>
    <row r="120" spans="2:10" ht="15.75" customHeight="1" x14ac:dyDescent="0.35">
      <c r="B120" s="3" t="s">
        <v>333</v>
      </c>
      <c r="C120" s="11">
        <v>5</v>
      </c>
      <c r="D120" s="11">
        <v>8</v>
      </c>
      <c r="E120" s="11">
        <v>50</v>
      </c>
      <c r="F120" s="2">
        <v>100</v>
      </c>
      <c r="G120" s="1" t="str">
        <f t="shared" si="1"/>
        <v>RapidusFio</v>
      </c>
      <c r="H120" s="2" t="s">
        <v>334</v>
      </c>
      <c r="J120" s="2" t="s">
        <v>335</v>
      </c>
    </row>
    <row r="121" spans="2:10" ht="15.75" customHeight="1" x14ac:dyDescent="0.35">
      <c r="B121" s="3" t="s">
        <v>336</v>
      </c>
      <c r="C121" s="11">
        <v>10</v>
      </c>
      <c r="D121" s="11">
        <v>6</v>
      </c>
      <c r="E121" s="11">
        <v>60</v>
      </c>
      <c r="F121" s="18">
        <v>1000</v>
      </c>
      <c r="G121" s="1" t="str">
        <f t="shared" si="1"/>
        <v>VolLuminatio</v>
      </c>
      <c r="H121" s="2" t="s">
        <v>337</v>
      </c>
      <c r="J121" s="2" t="s">
        <v>338</v>
      </c>
    </row>
    <row r="122" spans="2:10" ht="15.75" customHeight="1" x14ac:dyDescent="0.35">
      <c r="B122" s="3" t="s">
        <v>339</v>
      </c>
      <c r="C122" s="11">
        <v>10</v>
      </c>
      <c r="D122" s="11">
        <v>6</v>
      </c>
      <c r="E122" s="11">
        <v>60</v>
      </c>
      <c r="F122" s="18">
        <v>1000</v>
      </c>
      <c r="G122" s="1" t="str">
        <f t="shared" si="1"/>
        <v>VolUmbra</v>
      </c>
      <c r="H122" s="2" t="s">
        <v>340</v>
      </c>
      <c r="J122" s="2" t="s">
        <v>341</v>
      </c>
    </row>
    <row r="123" spans="2:10" ht="15.75" customHeight="1" x14ac:dyDescent="0.35">
      <c r="B123" s="3" t="s">
        <v>342</v>
      </c>
      <c r="C123" s="11" t="s">
        <v>18</v>
      </c>
      <c r="D123" s="11">
        <v>1</v>
      </c>
      <c r="E123" s="11">
        <v>2</v>
      </c>
      <c r="F123" s="18">
        <v>1000</v>
      </c>
      <c r="G123" s="1" t="str">
        <f t="shared" si="1"/>
        <v>None</v>
      </c>
      <c r="H123" s="2" t="s">
        <v>343</v>
      </c>
      <c r="J123" s="2" t="s">
        <v>83</v>
      </c>
    </row>
    <row r="124" spans="2:10" ht="15.75" customHeight="1" x14ac:dyDescent="0.35">
      <c r="B124" s="3" t="s">
        <v>344</v>
      </c>
      <c r="C124" s="11" t="s">
        <v>18</v>
      </c>
      <c r="D124" s="11">
        <v>1</v>
      </c>
      <c r="E124" s="11">
        <v>2</v>
      </c>
      <c r="F124" s="18">
        <v>1000</v>
      </c>
      <c r="G124" s="1" t="str">
        <f t="shared" si="1"/>
        <v>None</v>
      </c>
      <c r="H124" s="2" t="s">
        <v>345</v>
      </c>
      <c r="J124" s="2" t="s">
        <v>83</v>
      </c>
    </row>
    <row r="125" spans="2:10" ht="15.75" customHeight="1" x14ac:dyDescent="0.35">
      <c r="B125" s="3" t="s">
        <v>346</v>
      </c>
      <c r="C125" s="11" t="s">
        <v>18</v>
      </c>
      <c r="D125" s="11">
        <v>1</v>
      </c>
      <c r="E125" s="11">
        <v>2</v>
      </c>
      <c r="F125" s="18">
        <v>1000</v>
      </c>
      <c r="G125" s="1" t="str">
        <f t="shared" si="1"/>
        <v>None</v>
      </c>
      <c r="H125" s="2" t="s">
        <v>347</v>
      </c>
      <c r="J125" s="2" t="s">
        <v>83</v>
      </c>
    </row>
    <row r="126" spans="2:10" ht="15.75" customHeight="1" x14ac:dyDescent="0.35">
      <c r="B126" s="3" t="s">
        <v>348</v>
      </c>
      <c r="C126" s="11" t="s">
        <v>18</v>
      </c>
      <c r="D126" s="11">
        <v>1</v>
      </c>
      <c r="E126" s="11">
        <v>2</v>
      </c>
      <c r="F126" s="18">
        <v>1000</v>
      </c>
      <c r="G126" s="1" t="str">
        <f t="shared" si="1"/>
        <v>None</v>
      </c>
      <c r="H126" s="2" t="s">
        <v>349</v>
      </c>
      <c r="J126" s="2" t="s">
        <v>83</v>
      </c>
    </row>
    <row r="127" spans="2:10" ht="15.75" customHeight="1" x14ac:dyDescent="0.35">
      <c r="B127" s="3" t="s">
        <v>350</v>
      </c>
      <c r="C127" s="11" t="s">
        <v>18</v>
      </c>
      <c r="D127" s="11">
        <v>1</v>
      </c>
      <c r="E127" s="11">
        <v>2</v>
      </c>
      <c r="F127" s="18">
        <v>1000</v>
      </c>
      <c r="G127" s="1" t="str">
        <f t="shared" si="1"/>
        <v>None</v>
      </c>
      <c r="H127" s="2" t="s">
        <v>351</v>
      </c>
      <c r="J127" s="2" t="s">
        <v>83</v>
      </c>
    </row>
    <row r="128" spans="2:10" ht="15.75" customHeight="1" x14ac:dyDescent="0.35">
      <c r="B128" s="3" t="s">
        <v>352</v>
      </c>
      <c r="C128" s="11">
        <v>10</v>
      </c>
      <c r="D128" s="11">
        <v>8</v>
      </c>
      <c r="E128" s="11">
        <v>20</v>
      </c>
      <c r="F128" s="18">
        <v>2800</v>
      </c>
      <c r="G128" s="1" t="str">
        <f t="shared" si="1"/>
        <v>MillionCut</v>
      </c>
      <c r="H128" s="2" t="s">
        <v>353</v>
      </c>
      <c r="J128" s="2" t="s">
        <v>354</v>
      </c>
    </row>
    <row r="129" spans="2:10" ht="15.75" customHeight="1" x14ac:dyDescent="0.35">
      <c r="B129" s="3" t="s">
        <v>355</v>
      </c>
      <c r="C129" s="11">
        <v>10</v>
      </c>
      <c r="D129" s="11">
        <v>8</v>
      </c>
      <c r="E129" s="11">
        <v>20</v>
      </c>
      <c r="F129" s="18">
        <v>2800</v>
      </c>
      <c r="G129" s="1" t="str">
        <f t="shared" si="1"/>
        <v>NinthCircle</v>
      </c>
      <c r="H129" s="2" t="s">
        <v>353</v>
      </c>
      <c r="J129" s="2" t="s">
        <v>356</v>
      </c>
    </row>
    <row r="130" spans="2:10" ht="15.75" customHeight="1" x14ac:dyDescent="0.35">
      <c r="B130" s="3" t="s">
        <v>357</v>
      </c>
      <c r="C130" s="11">
        <v>10</v>
      </c>
      <c r="D130" s="11">
        <v>8</v>
      </c>
      <c r="E130" s="11">
        <v>20</v>
      </c>
      <c r="F130" s="18">
        <v>2800</v>
      </c>
      <c r="G130" s="1" t="str">
        <f t="shared" si="1"/>
        <v>DiesIrae</v>
      </c>
      <c r="H130" s="2" t="s">
        <v>353</v>
      </c>
      <c r="J130" s="2" t="s">
        <v>358</v>
      </c>
    </row>
    <row r="131" spans="2:10" ht="15.75" customHeight="1" x14ac:dyDescent="0.35">
      <c r="B131" s="3" t="s">
        <v>359</v>
      </c>
      <c r="C131" s="11">
        <v>10</v>
      </c>
      <c r="D131" s="11">
        <v>8</v>
      </c>
      <c r="E131" s="11">
        <v>20</v>
      </c>
      <c r="F131" s="18">
        <v>2800</v>
      </c>
      <c r="G131" s="1" t="str">
        <f t="shared" si="1"/>
        <v>KardíaPhlegeton</v>
      </c>
      <c r="H131" s="2" t="s">
        <v>353</v>
      </c>
      <c r="J131" s="2" t="s">
        <v>360</v>
      </c>
    </row>
    <row r="132" spans="2:10" ht="15.75" customHeight="1" x14ac:dyDescent="0.35">
      <c r="B132" s="3" t="s">
        <v>361</v>
      </c>
      <c r="C132" s="11">
        <v>20</v>
      </c>
      <c r="D132" s="11">
        <v>8</v>
      </c>
      <c r="E132" s="11">
        <v>80</v>
      </c>
      <c r="F132" s="18">
        <v>2800</v>
      </c>
      <c r="G132" s="1" t="str">
        <f t="shared" si="1"/>
        <v>LapisteTepisto</v>
      </c>
      <c r="H132" s="2" t="s">
        <v>353</v>
      </c>
      <c r="J132" s="2" t="s">
        <v>362</v>
      </c>
    </row>
    <row r="133" spans="2:10" ht="15.75" customHeight="1" x14ac:dyDescent="0.35">
      <c r="B133" s="3" t="s">
        <v>363</v>
      </c>
      <c r="C133" s="11">
        <v>6.5</v>
      </c>
      <c r="D133" s="11">
        <v>8</v>
      </c>
      <c r="E133" s="11">
        <v>80</v>
      </c>
      <c r="F133" s="18">
        <v>2800</v>
      </c>
      <c r="G133" s="1" t="str">
        <f t="shared" si="1"/>
        <v>ClaimhSolais</v>
      </c>
      <c r="H133" s="2" t="s">
        <v>353</v>
      </c>
      <c r="J133" s="2" t="s">
        <v>364</v>
      </c>
    </row>
    <row r="134" spans="2:10" ht="15.75" customHeight="1" x14ac:dyDescent="0.35">
      <c r="B134" s="3" t="s">
        <v>365</v>
      </c>
      <c r="C134" s="11">
        <v>5</v>
      </c>
      <c r="D134" s="11">
        <v>8</v>
      </c>
      <c r="E134" s="11">
        <v>20</v>
      </c>
      <c r="F134" s="18">
        <v>2800</v>
      </c>
      <c r="G134" s="1" t="str">
        <f t="shared" ref="G134:G169" si="2">SUBSTITUTE(J134, " ", "")</f>
        <v>DarknessIllusion</v>
      </c>
      <c r="H134" s="2" t="s">
        <v>353</v>
      </c>
      <c r="J134" s="2" t="s">
        <v>366</v>
      </c>
    </row>
    <row r="135" spans="2:10" ht="15.75" customHeight="1" x14ac:dyDescent="0.35">
      <c r="B135" s="3" t="s">
        <v>367</v>
      </c>
      <c r="C135" s="11">
        <v>1000</v>
      </c>
      <c r="D135" s="11">
        <v>8</v>
      </c>
      <c r="E135" s="11">
        <v>20</v>
      </c>
      <c r="F135" s="18">
        <v>2800</v>
      </c>
      <c r="G135" s="1" t="str">
        <f t="shared" si="2"/>
        <v>CarnageHeart</v>
      </c>
      <c r="H135" s="2" t="s">
        <v>353</v>
      </c>
      <c r="J135" s="2" t="s">
        <v>368</v>
      </c>
    </row>
    <row r="136" spans="2:10" ht="15.75" customHeight="1" x14ac:dyDescent="0.35">
      <c r="B136" s="3" t="s">
        <v>369</v>
      </c>
      <c r="C136" s="11">
        <v>3</v>
      </c>
      <c r="D136" s="11">
        <v>8</v>
      </c>
      <c r="E136" s="11">
        <v>20</v>
      </c>
      <c r="F136" s="18">
        <v>2800</v>
      </c>
      <c r="G136" s="1" t="str">
        <f t="shared" si="2"/>
        <v>HydroPumpClimax</v>
      </c>
      <c r="H136" s="2" t="s">
        <v>353</v>
      </c>
      <c r="J136" s="2" t="s">
        <v>370</v>
      </c>
    </row>
    <row r="137" spans="2:10" ht="15.75" customHeight="1" x14ac:dyDescent="0.35">
      <c r="B137" s="3" t="s">
        <v>371</v>
      </c>
      <c r="C137" s="11">
        <v>30</v>
      </c>
      <c r="D137" s="11">
        <v>8</v>
      </c>
      <c r="E137" s="11">
        <v>20</v>
      </c>
      <c r="F137" s="18">
        <v>2800</v>
      </c>
      <c r="G137" s="1" t="str">
        <f t="shared" si="2"/>
        <v>ArchAngle</v>
      </c>
      <c r="H137" s="2" t="s">
        <v>353</v>
      </c>
      <c r="J137" s="2" t="s">
        <v>372</v>
      </c>
    </row>
    <row r="138" spans="2:10" ht="15.75" customHeight="1" x14ac:dyDescent="0.35">
      <c r="B138" s="3" t="s">
        <v>373</v>
      </c>
      <c r="C138" s="11">
        <v>10</v>
      </c>
      <c r="D138" s="11">
        <v>8</v>
      </c>
      <c r="E138" s="11">
        <v>20</v>
      </c>
      <c r="F138" s="18">
        <v>2800</v>
      </c>
      <c r="G138" s="1" t="str">
        <f t="shared" si="2"/>
        <v>SpiritofLight</v>
      </c>
      <c r="H138" s="2" t="s">
        <v>353</v>
      </c>
      <c r="J138" s="2" t="s">
        <v>374</v>
      </c>
    </row>
    <row r="139" spans="2:10" ht="15.75" customHeight="1" x14ac:dyDescent="0.35">
      <c r="B139" s="3" t="s">
        <v>375</v>
      </c>
      <c r="C139" s="11">
        <v>6</v>
      </c>
      <c r="D139" s="11">
        <v>8</v>
      </c>
      <c r="E139" s="11">
        <v>1</v>
      </c>
      <c r="F139" s="18">
        <v>2800</v>
      </c>
      <c r="G139" s="1" t="str">
        <f t="shared" si="2"/>
        <v>PowerofLire</v>
      </c>
      <c r="H139" s="2" t="s">
        <v>353</v>
      </c>
      <c r="J139" s="2" t="s">
        <v>376</v>
      </c>
    </row>
    <row r="140" spans="2:10" ht="15.75" customHeight="1" x14ac:dyDescent="0.35">
      <c r="B140" s="3" t="s">
        <v>377</v>
      </c>
      <c r="C140" s="11">
        <v>10</v>
      </c>
      <c r="D140" s="11">
        <v>8</v>
      </c>
      <c r="E140" s="11">
        <v>20</v>
      </c>
      <c r="F140" s="18">
        <v>2800</v>
      </c>
      <c r="G140" s="1" t="str">
        <f t="shared" si="2"/>
        <v>LegacyofDeath:SoulRiver</v>
      </c>
      <c r="H140" s="2" t="s">
        <v>353</v>
      </c>
      <c r="J140" s="2" t="s">
        <v>378</v>
      </c>
    </row>
    <row r="141" spans="2:10" ht="15.75" customHeight="1" x14ac:dyDescent="0.35">
      <c r="B141" s="3" t="s">
        <v>379</v>
      </c>
      <c r="C141" s="11">
        <v>30</v>
      </c>
      <c r="D141" s="11">
        <v>8</v>
      </c>
      <c r="E141" s="11">
        <v>20</v>
      </c>
      <c r="F141" s="18">
        <v>2800</v>
      </c>
      <c r="G141" s="1" t="str">
        <f t="shared" si="2"/>
        <v>VjayaSisters</v>
      </c>
      <c r="H141" s="2" t="s">
        <v>353</v>
      </c>
      <c r="J141" s="2" t="s">
        <v>380</v>
      </c>
    </row>
    <row r="142" spans="2:10" ht="15.75" customHeight="1" x14ac:dyDescent="0.35">
      <c r="B142" s="3" t="s">
        <v>381</v>
      </c>
      <c r="C142" s="11">
        <v>10</v>
      </c>
      <c r="D142" s="11">
        <v>8</v>
      </c>
      <c r="E142" s="11">
        <v>20</v>
      </c>
      <c r="F142" s="18">
        <v>2800</v>
      </c>
      <c r="G142" s="1" t="str">
        <f t="shared" si="2"/>
        <v>VenusCrescent</v>
      </c>
      <c r="H142" s="2" t="s">
        <v>353</v>
      </c>
      <c r="J142" s="2" t="s">
        <v>382</v>
      </c>
    </row>
    <row r="143" spans="2:10" ht="15.75" customHeight="1" x14ac:dyDescent="0.35">
      <c r="B143" s="3" t="s">
        <v>383</v>
      </c>
      <c r="C143" s="11">
        <v>10</v>
      </c>
      <c r="D143" s="11">
        <v>8</v>
      </c>
      <c r="E143" s="11">
        <v>20</v>
      </c>
      <c r="F143" s="18">
        <v>2800</v>
      </c>
      <c r="G143" s="1" t="str">
        <f t="shared" si="2"/>
        <v>DarkFrogamorphosis</v>
      </c>
      <c r="H143" s="2" t="s">
        <v>353</v>
      </c>
      <c r="J143" s="2" t="s">
        <v>384</v>
      </c>
    </row>
    <row r="144" spans="2:10" ht="15.75" customHeight="1" x14ac:dyDescent="0.35">
      <c r="B144" s="3" t="s">
        <v>385</v>
      </c>
      <c r="C144" s="11">
        <v>10</v>
      </c>
      <c r="D144" s="11">
        <v>9</v>
      </c>
      <c r="E144" s="11">
        <v>20</v>
      </c>
      <c r="F144" s="18">
        <v>1000</v>
      </c>
      <c r="G144" s="1" t="str">
        <f t="shared" si="2"/>
        <v>ClockTower</v>
      </c>
      <c r="H144" s="2" t="s">
        <v>386</v>
      </c>
      <c r="J144" s="2" t="s">
        <v>387</v>
      </c>
    </row>
    <row r="145" spans="2:10" ht="15.75" customHeight="1" x14ac:dyDescent="0.35">
      <c r="B145" s="3" t="s">
        <v>388</v>
      </c>
      <c r="C145" s="11">
        <v>10</v>
      </c>
      <c r="D145" s="11">
        <v>9</v>
      </c>
      <c r="E145" s="11">
        <v>20</v>
      </c>
      <c r="F145" s="18">
        <v>1000</v>
      </c>
      <c r="G145" s="1" t="str">
        <f t="shared" si="2"/>
        <v/>
      </c>
      <c r="H145" s="2"/>
      <c r="J145" s="2"/>
    </row>
    <row r="146" spans="2:10" ht="15.75" customHeight="1" x14ac:dyDescent="0.35">
      <c r="B146" s="3" t="s">
        <v>389</v>
      </c>
      <c r="C146" s="11">
        <v>10</v>
      </c>
      <c r="D146" s="11">
        <v>9</v>
      </c>
      <c r="E146" s="11">
        <v>20</v>
      </c>
      <c r="F146" s="18">
        <v>1000</v>
      </c>
      <c r="G146" s="1" t="str">
        <f t="shared" si="2"/>
        <v/>
      </c>
      <c r="H146" s="2"/>
      <c r="J146" s="2"/>
    </row>
    <row r="147" spans="2:10" ht="15.75" customHeight="1" x14ac:dyDescent="0.35">
      <c r="B147" s="3" t="s">
        <v>390</v>
      </c>
      <c r="C147" s="11">
        <v>10</v>
      </c>
      <c r="D147" s="11">
        <v>9</v>
      </c>
      <c r="E147" s="11">
        <v>20</v>
      </c>
      <c r="F147" s="18">
        <v>1000</v>
      </c>
      <c r="G147" s="1" t="str">
        <f t="shared" si="2"/>
        <v/>
      </c>
      <c r="H147" s="2"/>
      <c r="J147" s="2"/>
    </row>
    <row r="148" spans="2:10" ht="15.75" customHeight="1" x14ac:dyDescent="0.35">
      <c r="B148" s="3" t="s">
        <v>391</v>
      </c>
      <c r="C148" s="11" t="s">
        <v>18</v>
      </c>
      <c r="D148" s="11">
        <v>1</v>
      </c>
      <c r="E148" s="11">
        <v>6</v>
      </c>
      <c r="F148" s="18">
        <v>1000</v>
      </c>
      <c r="G148" s="1" t="str">
        <f t="shared" si="2"/>
        <v>None</v>
      </c>
      <c r="H148" s="2" t="s">
        <v>392</v>
      </c>
      <c r="J148" s="2" t="s">
        <v>83</v>
      </c>
    </row>
    <row r="149" spans="2:10" ht="15.75" customHeight="1" x14ac:dyDescent="0.35">
      <c r="B149" s="3" t="s">
        <v>393</v>
      </c>
      <c r="C149" s="11">
        <v>6</v>
      </c>
      <c r="D149" s="11">
        <v>6</v>
      </c>
      <c r="E149" s="11">
        <v>50</v>
      </c>
      <c r="F149" s="2">
        <v>800</v>
      </c>
      <c r="G149" s="1" t="str">
        <f t="shared" si="2"/>
        <v>DressSword</v>
      </c>
      <c r="H149" s="2" t="s">
        <v>394</v>
      </c>
      <c r="J149" s="2" t="s">
        <v>395</v>
      </c>
    </row>
    <row r="150" spans="2:10" ht="15.75" customHeight="1" x14ac:dyDescent="0.35">
      <c r="B150" s="3" t="s">
        <v>396</v>
      </c>
      <c r="C150" s="11">
        <v>6.5</v>
      </c>
      <c r="D150" s="11">
        <v>6</v>
      </c>
      <c r="E150" s="11">
        <v>50</v>
      </c>
      <c r="F150" s="2">
        <v>800</v>
      </c>
      <c r="G150" s="1" t="str">
        <f t="shared" si="2"/>
        <v>Lordstar</v>
      </c>
      <c r="H150" s="2" t="s">
        <v>397</v>
      </c>
      <c r="J150" s="2" t="s">
        <v>398</v>
      </c>
    </row>
    <row r="151" spans="2:10" ht="15.75" customHeight="1" x14ac:dyDescent="0.35">
      <c r="B151" s="3" t="s">
        <v>399</v>
      </c>
      <c r="C151" s="11">
        <v>20</v>
      </c>
      <c r="D151" s="11">
        <v>8</v>
      </c>
      <c r="E151" s="11">
        <v>50</v>
      </c>
      <c r="F151" s="2">
        <v>800</v>
      </c>
      <c r="G151" s="1" t="str">
        <f t="shared" si="2"/>
        <v>PursuantBlades</v>
      </c>
      <c r="H151" s="2" t="s">
        <v>400</v>
      </c>
      <c r="J151" s="2" t="s">
        <v>401</v>
      </c>
    </row>
    <row r="152" spans="2:10" ht="15.75" customHeight="1" x14ac:dyDescent="0.35">
      <c r="B152" s="3" t="s">
        <v>402</v>
      </c>
      <c r="C152" s="11">
        <v>20</v>
      </c>
      <c r="D152" s="11">
        <v>6</v>
      </c>
      <c r="E152" s="11">
        <v>50</v>
      </c>
      <c r="F152" s="2">
        <v>800</v>
      </c>
      <c r="G152" s="1" t="str">
        <f t="shared" si="2"/>
        <v>Zweihander</v>
      </c>
      <c r="H152" s="2" t="s">
        <v>403</v>
      </c>
      <c r="J152" s="2" t="s">
        <v>404</v>
      </c>
    </row>
    <row r="153" spans="2:10" ht="15.75" customHeight="1" x14ac:dyDescent="0.35">
      <c r="B153" s="3" t="s">
        <v>405</v>
      </c>
      <c r="C153" s="11">
        <v>6.5</v>
      </c>
      <c r="D153" s="11">
        <v>6</v>
      </c>
      <c r="E153" s="11">
        <v>50</v>
      </c>
      <c r="F153" s="2">
        <v>800</v>
      </c>
      <c r="G153" s="1" t="str">
        <f t="shared" si="2"/>
        <v>PressurePoint</v>
      </c>
      <c r="H153" s="2" t="s">
        <v>406</v>
      </c>
      <c r="J153" s="2" t="s">
        <v>407</v>
      </c>
    </row>
    <row r="154" spans="2:10" ht="15.75" customHeight="1" x14ac:dyDescent="0.35">
      <c r="B154" s="3" t="s">
        <v>408</v>
      </c>
      <c r="C154" s="11">
        <v>10</v>
      </c>
      <c r="D154" s="11">
        <v>8</v>
      </c>
      <c r="E154" s="11">
        <v>50</v>
      </c>
      <c r="F154" s="2">
        <v>800</v>
      </c>
      <c r="G154" s="1" t="str">
        <f t="shared" si="2"/>
        <v>TriangleKick</v>
      </c>
      <c r="H154" s="2" t="s">
        <v>409</v>
      </c>
      <c r="J154" s="2" t="s">
        <v>410</v>
      </c>
    </row>
    <row r="155" spans="2:10" ht="15.75" customHeight="1" x14ac:dyDescent="0.35">
      <c r="B155" s="3" t="s">
        <v>411</v>
      </c>
      <c r="C155" s="11">
        <v>0.5</v>
      </c>
      <c r="D155" s="11">
        <v>6</v>
      </c>
      <c r="E155" s="11">
        <v>60</v>
      </c>
      <c r="F155" s="2">
        <v>10</v>
      </c>
      <c r="G155" s="1" t="str">
        <f t="shared" si="2"/>
        <v>HecatonMachineGun</v>
      </c>
      <c r="H155" s="2" t="s">
        <v>412</v>
      </c>
      <c r="J155" s="2" t="s">
        <v>413</v>
      </c>
    </row>
    <row r="156" spans="2:10" ht="15.75" customHeight="1" x14ac:dyDescent="0.35">
      <c r="B156" s="3" t="s">
        <v>414</v>
      </c>
      <c r="C156" s="11">
        <v>10</v>
      </c>
      <c r="D156" s="11">
        <v>6</v>
      </c>
      <c r="E156" s="11">
        <v>50</v>
      </c>
      <c r="F156" s="2">
        <v>800</v>
      </c>
      <c r="G156" s="1" t="str">
        <f t="shared" si="2"/>
        <v>HydraCannon</v>
      </c>
      <c r="H156" s="2" t="s">
        <v>415</v>
      </c>
      <c r="J156" s="2" t="s">
        <v>416</v>
      </c>
    </row>
    <row r="157" spans="2:10" ht="15.75" customHeight="1" x14ac:dyDescent="0.35">
      <c r="B157" s="3" t="s">
        <v>417</v>
      </c>
      <c r="C157" s="11">
        <v>5</v>
      </c>
      <c r="D157" s="11">
        <v>8</v>
      </c>
      <c r="E157" s="11">
        <v>50</v>
      </c>
      <c r="F157" s="2">
        <v>800</v>
      </c>
      <c r="G157" s="1" t="str">
        <f t="shared" si="2"/>
        <v>Pendragon</v>
      </c>
      <c r="H157" s="2" t="s">
        <v>418</v>
      </c>
      <c r="J157" s="2" t="s">
        <v>419</v>
      </c>
    </row>
    <row r="158" spans="2:10" ht="15.75" customHeight="1" x14ac:dyDescent="0.35">
      <c r="B158" s="3" t="s">
        <v>420</v>
      </c>
      <c r="C158" s="11">
        <v>6.5</v>
      </c>
      <c r="D158" s="11">
        <v>8</v>
      </c>
      <c r="E158" s="11">
        <v>50</v>
      </c>
      <c r="F158" s="2">
        <v>800</v>
      </c>
      <c r="G158" s="1" t="str">
        <f t="shared" si="2"/>
        <v>Jetstream</v>
      </c>
      <c r="H158" s="2" t="s">
        <v>421</v>
      </c>
      <c r="J158" s="2" t="s">
        <v>422</v>
      </c>
    </row>
    <row r="159" spans="2:10" ht="15.75" customHeight="1" x14ac:dyDescent="0.35">
      <c r="B159" s="3" t="s">
        <v>423</v>
      </c>
      <c r="C159" s="11">
        <v>10</v>
      </c>
      <c r="D159" s="11">
        <v>8</v>
      </c>
      <c r="E159" s="11">
        <v>50</v>
      </c>
      <c r="F159" s="2">
        <v>800</v>
      </c>
      <c r="G159" s="1" t="str">
        <f t="shared" si="2"/>
        <v>Gekkabijin</v>
      </c>
      <c r="H159" s="2" t="s">
        <v>424</v>
      </c>
      <c r="J159" s="2" t="s">
        <v>425</v>
      </c>
    </row>
    <row r="160" spans="2:10" ht="15.75" customHeight="1" x14ac:dyDescent="0.35">
      <c r="B160" s="3" t="s">
        <v>426</v>
      </c>
      <c r="C160" s="11">
        <v>10</v>
      </c>
      <c r="D160" s="11">
        <v>8</v>
      </c>
      <c r="E160" s="11">
        <v>50</v>
      </c>
      <c r="F160" s="2">
        <v>800</v>
      </c>
      <c r="G160" s="1" t="str">
        <f t="shared" si="2"/>
        <v>Falconwind</v>
      </c>
      <c r="H160" s="2" t="s">
        <v>427</v>
      </c>
      <c r="J160" s="2" t="s">
        <v>428</v>
      </c>
    </row>
    <row r="161" spans="2:10" ht="15.75" customHeight="1" x14ac:dyDescent="0.35">
      <c r="B161" s="3" t="s">
        <v>429</v>
      </c>
      <c r="C161" s="11">
        <v>8</v>
      </c>
      <c r="D161" s="11">
        <v>8</v>
      </c>
      <c r="E161" s="11">
        <v>50</v>
      </c>
      <c r="F161" s="2">
        <v>800</v>
      </c>
      <c r="G161" s="1" t="str">
        <f t="shared" si="2"/>
        <v>BloodChalice</v>
      </c>
      <c r="H161" s="2" t="s">
        <v>430</v>
      </c>
      <c r="J161" s="2" t="s">
        <v>431</v>
      </c>
    </row>
    <row r="162" spans="2:10" ht="15.75" customHeight="1" x14ac:dyDescent="0.35">
      <c r="B162" s="3" t="s">
        <v>432</v>
      </c>
      <c r="C162" s="11">
        <v>6</v>
      </c>
      <c r="D162" s="11">
        <v>6</v>
      </c>
      <c r="E162" s="11">
        <v>50</v>
      </c>
      <c r="F162" s="2">
        <v>800</v>
      </c>
      <c r="G162" s="1" t="str">
        <f t="shared" si="2"/>
        <v>FeatherSpear</v>
      </c>
      <c r="H162" s="2" t="s">
        <v>433</v>
      </c>
      <c r="J162" s="2" t="s">
        <v>434</v>
      </c>
    </row>
    <row r="163" spans="2:10" ht="15.75" customHeight="1" x14ac:dyDescent="0.35">
      <c r="B163" s="3" t="s">
        <v>435</v>
      </c>
      <c r="C163" s="11">
        <v>10</v>
      </c>
      <c r="D163" s="11">
        <v>8</v>
      </c>
      <c r="E163" s="11">
        <v>50</v>
      </c>
      <c r="F163" s="2">
        <v>800</v>
      </c>
      <c r="G163" s="1" t="str">
        <f t="shared" si="2"/>
        <v>RingsofCalamity</v>
      </c>
      <c r="H163" s="2" t="s">
        <v>436</v>
      </c>
      <c r="J163" s="2" t="s">
        <v>437</v>
      </c>
    </row>
    <row r="164" spans="2:10" ht="15.75" customHeight="1" x14ac:dyDescent="0.35">
      <c r="B164" s="3" t="s">
        <v>438</v>
      </c>
      <c r="C164" s="11" t="s">
        <v>18</v>
      </c>
      <c r="D164" s="11">
        <v>8</v>
      </c>
      <c r="E164" s="11">
        <v>1</v>
      </c>
      <c r="F164" s="2">
        <v>1</v>
      </c>
      <c r="G164" s="1" t="str">
        <f t="shared" si="2"/>
        <v>EmeraldWave</v>
      </c>
      <c r="H164" s="2" t="s">
        <v>439</v>
      </c>
      <c r="J164" s="2" t="s">
        <v>440</v>
      </c>
    </row>
    <row r="165" spans="2:10" ht="15.75" customHeight="1" x14ac:dyDescent="0.35">
      <c r="B165" s="3" t="s">
        <v>441</v>
      </c>
      <c r="C165" s="11" t="s">
        <v>18</v>
      </c>
      <c r="D165" s="11">
        <v>1</v>
      </c>
      <c r="E165" s="11">
        <v>2</v>
      </c>
      <c r="F165" s="2"/>
      <c r="G165" s="1" t="str">
        <f t="shared" si="2"/>
        <v>None</v>
      </c>
      <c r="H165" s="2" t="s">
        <v>442</v>
      </c>
      <c r="J165" s="2" t="s">
        <v>83</v>
      </c>
    </row>
    <row r="166" spans="2:10" ht="15.75" customHeight="1" x14ac:dyDescent="0.35">
      <c r="B166" s="3" t="s">
        <v>443</v>
      </c>
      <c r="C166" s="11">
        <v>15</v>
      </c>
      <c r="D166" s="11">
        <v>9</v>
      </c>
      <c r="E166" s="11">
        <v>80</v>
      </c>
      <c r="F166" s="18">
        <v>1000</v>
      </c>
      <c r="G166" s="1" t="str">
        <f t="shared" si="2"/>
        <v>NaneInferno</v>
      </c>
      <c r="H166" s="2" t="s">
        <v>444</v>
      </c>
      <c r="J166" s="2" t="s">
        <v>445</v>
      </c>
    </row>
    <row r="167" spans="2:10" ht="15.75" customHeight="1" x14ac:dyDescent="0.35">
      <c r="B167" s="3" t="s">
        <v>446</v>
      </c>
      <c r="C167" s="11">
        <v>10</v>
      </c>
      <c r="D167" s="11">
        <v>9</v>
      </c>
      <c r="E167" s="11">
        <v>80</v>
      </c>
      <c r="F167" s="18">
        <v>1000</v>
      </c>
      <c r="G167" s="1" t="str">
        <f t="shared" si="2"/>
        <v>Cavendish</v>
      </c>
      <c r="H167" s="2" t="s">
        <v>447</v>
      </c>
      <c r="J167" s="2" t="s">
        <v>448</v>
      </c>
    </row>
    <row r="168" spans="2:10" ht="15.75" customHeight="1" x14ac:dyDescent="0.35">
      <c r="B168" s="3" t="s">
        <v>449</v>
      </c>
      <c r="C168" s="11">
        <v>15</v>
      </c>
      <c r="D168" s="11">
        <v>9</v>
      </c>
      <c r="E168" s="11">
        <v>80</v>
      </c>
      <c r="F168" s="18">
        <v>1000</v>
      </c>
      <c r="G168" s="1" t="str">
        <f t="shared" si="2"/>
        <v>RoyalFlush</v>
      </c>
      <c r="H168" s="2" t="s">
        <v>450</v>
      </c>
      <c r="J168" s="2" t="s">
        <v>451</v>
      </c>
    </row>
    <row r="169" spans="2:10" ht="15.75" customHeight="1" x14ac:dyDescent="0.35">
      <c r="B169" s="3" t="s">
        <v>452</v>
      </c>
      <c r="C169" s="11">
        <v>10</v>
      </c>
      <c r="D169" s="11">
        <v>9</v>
      </c>
      <c r="E169" s="11">
        <v>80</v>
      </c>
      <c r="F169" s="18">
        <v>1000</v>
      </c>
      <c r="G169" s="1" t="str">
        <f t="shared" si="2"/>
        <v>NegativeSpace</v>
      </c>
      <c r="H169" s="2" t="s">
        <v>453</v>
      </c>
      <c r="J169" s="2" t="s">
        <v>454</v>
      </c>
    </row>
    <row r="170" spans="2:10" ht="15.75" customHeight="1" x14ac:dyDescent="0.35"/>
    <row r="171" spans="2:10" ht="15.75" customHeight="1" x14ac:dyDescent="0.35"/>
    <row r="172" spans="2:10" ht="15.75" customHeight="1" x14ac:dyDescent="0.35"/>
    <row r="173" spans="2:10" ht="15.75" customHeight="1" x14ac:dyDescent="0.35"/>
    <row r="174" spans="2:10" ht="15.75" customHeight="1" x14ac:dyDescent="0.35"/>
    <row r="175" spans="2:10" ht="15.75" customHeight="1" x14ac:dyDescent="0.35"/>
    <row r="176" spans="2:10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2026-05-22T06:00:32Z</dcterms:modified>
  <cp:version>1200.0100.01</cp:version>
</cp:coreProperties>
</file>